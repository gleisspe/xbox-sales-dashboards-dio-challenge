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sico\OneDrive\Área de Trabalho\"/>
    </mc:Choice>
  </mc:AlternateContent>
  <xr:revisionPtr revIDLastSave="0" documentId="13_ncr:1_{A5652FA9-732C-463A-AD2D-A6387B421539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3" l="1"/>
  <c r="D15" i="3"/>
</calcChain>
</file>

<file path=xl/sharedStrings.xml><?xml version="1.0" encoding="utf-8"?>
<sst xmlns="http://schemas.openxmlformats.org/spreadsheetml/2006/main" count="2026" uniqueCount="319">
  <si>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</si>
  <si>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</si>
  <si>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</si>
  <si>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</si>
  <si>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</si>
  <si>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</si>
  <si>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</si>
  <si>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</si>
  <si>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</si>
  <si>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</si>
  <si>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</si>
  <si>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</si>
  <si>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</si>
  <si>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</si>
  <si>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</si>
  <si>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</si>
  <si>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</si>
  <si>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</si>
  <si>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</si>
  <si>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</si>
  <si>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</si>
  <si>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</si>
  <si>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</si>
  <si>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</si>
  <si>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</si>
  <si>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</si>
  <si>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</si>
  <si>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</si>
  <si>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</si>
  <si>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</si>
  <si>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</si>
  <si>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</si>
  <si>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</si>
  <si>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</si>
  <si>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</si>
  <si>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</si>
  <si>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</si>
  <si>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</si>
  <si>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</si>
  <si>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</si>
  <si>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</si>
  <si>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</si>
  <si>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</si>
  <si>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</si>
  <si>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</si>
  <si>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</si>
  <si>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</si>
  <si>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</si>
  <si>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</si>
  <si>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</si>
  <si>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</si>
  <si>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</si>
  <si>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</si>
  <si>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</si>
  <si>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</si>
  <si>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</si>
  <si>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</si>
  <si>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</si>
  <si>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</si>
  <si>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</si>
  <si>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</si>
  <si>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</si>
  <si>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</si>
  <si>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</si>
  <si>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</si>
  <si>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</si>
  <si>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</si>
  <si>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</si>
  <si>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</si>
  <si>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</si>
  <si>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</si>
  <si>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</si>
  <si>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</si>
  <si>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</si>
  <si>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</si>
  <si>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</si>
  <si>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</si>
  <si>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</si>
  <si>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</si>
  <si>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</si>
  <si>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</si>
  <si>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</si>
  <si>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</si>
  <si>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</si>
  <si>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</si>
  <si>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</si>
  <si>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</si>
  <si>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</si>
  <si>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</si>
  <si>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</si>
  <si>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</si>
  <si>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</si>
  <si>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</si>
  <si>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</si>
  <si>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</si>
  <si>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</si>
  <si>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</si>
  <si>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</si>
  <si>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</si>
  <si>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</si>
  <si>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</si>
  <si>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</si>
  <si>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</si>
  <si>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</si>
  <si>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</si>
  <si>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</si>
  <si>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</si>
  <si>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</si>
  <si>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</si>
  <si>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</si>
  <si>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</si>
  <si>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</si>
  <si>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</si>
  <si>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</si>
  <si>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</si>
  <si>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</si>
  <si>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</si>
  <si>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</si>
  <si>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</si>
  <si>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</si>
  <si>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</si>
  <si>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</si>
  <si>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</si>
  <si>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</si>
  <si>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</si>
  <si>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</si>
  <si>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</si>
  <si>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</si>
  <si>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</si>
  <si>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</si>
  <si>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</si>
  <si>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</si>
  <si>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</si>
  <si>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</si>
  <si>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</si>
  <si>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</si>
  <si>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</si>
  <si>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</si>
  <si>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</si>
  <si>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</si>
  <si>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</si>
  <si>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</si>
  <si>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</si>
  <si>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</si>
  <si>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</si>
  <si>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</si>
  <si>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</si>
  <si>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</si>
  <si>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</si>
  <si>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</si>
  <si>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</si>
  <si>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</si>
  <si>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</si>
  <si>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</si>
  <si>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</si>
  <si>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</si>
  <si>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</si>
  <si>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</si>
  <si>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</si>
  <si>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</si>
  <si>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</si>
  <si>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</si>
  <si>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</si>
  <si>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</si>
  <si>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</si>
  <si>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</si>
  <si>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</si>
  <si>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</si>
  <si>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</si>
  <si>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</si>
  <si>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</si>
  <si>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</si>
  <si>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</si>
  <si>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</si>
  <si>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</si>
  <si>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</si>
  <si>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</si>
  <si>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</si>
  <si>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</si>
  <si>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</si>
  <si>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</si>
  <si>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</si>
  <si>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</si>
  <si>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</si>
  <si>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</si>
  <si>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</si>
  <si>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</si>
  <si>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</si>
  <si>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</si>
  <si>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</si>
  <si>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</si>
  <si>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</si>
  <si>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</si>
  <si>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</si>
  <si>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</si>
  <si>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</si>
  <si>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</si>
  <si>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</si>
  <si>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</si>
  <si>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</si>
  <si>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</si>
  <si>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</si>
  <si>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</si>
  <si>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</si>
  <si>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</si>
  <si>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</si>
  <si>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</si>
  <si>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</si>
  <si>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</si>
  <si>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</si>
  <si>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</si>
  <si>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</si>
  <si>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</si>
  <si>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</si>
  <si>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</si>
  <si>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</si>
  <si>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</si>
  <si>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</si>
  <si>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</si>
  <si>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</si>
  <si>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</si>
  <si>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</si>
  <si>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</si>
  <si>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</si>
  <si>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</si>
  <si>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</si>
  <si>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</si>
  <si>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</si>
  <si>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</si>
  <si>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</si>
  <si>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</si>
  <si>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</si>
  <si>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</si>
  <si>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</si>
  <si>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</si>
  <si>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</si>
  <si>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</si>
  <si>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</si>
  <si>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</si>
  <si>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</si>
  <si>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</si>
  <si>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</si>
  <si>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</si>
  <si>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</si>
  <si>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</si>
  <si>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</si>
  <si>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</si>
  <si>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</si>
  <si>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</si>
  <si>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</si>
  <si>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</si>
  <si>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</si>
  <si>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</si>
  <si>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</si>
  <si>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</si>
  <si>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</si>
  <si>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</si>
  <si>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</si>
  <si>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</si>
  <si>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</si>
  <si>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</si>
  <si>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</si>
  <si>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</si>
  <si>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</si>
  <si>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</si>
  <si>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</si>
  <si>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</si>
  <si>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</si>
  <si>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</si>
  <si>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</si>
  <si>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</si>
  <si>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</si>
  <si>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</si>
  <si>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</si>
  <si>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</si>
  <si>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</si>
  <si>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</si>
  <si>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</si>
  <si>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</si>
  <si>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</si>
  <si>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</si>
  <si>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</si>
  <si>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</si>
  <si>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</si>
  <si>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</si>
  <si>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</si>
  <si>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</si>
  <si>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</si>
  <si>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</si>
  <si>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</si>
  <si>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</si>
  <si>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</si>
  <si>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</si>
  <si>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</si>
  <si>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</si>
  <si>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</si>
  <si>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</si>
  <si>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</si>
  <si>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</si>
  <si>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</si>
  <si>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</si>
  <si>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</si>
  <si>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</si>
  <si>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</si>
  <si>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</si>
  <si>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</si>
  <si>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</si>
  <si>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</si>
  <si>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</si>
  <si>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</si>
  <si>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</si>
  <si>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</si>
  <si>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</si>
  <si>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</si>
  <si>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</si>
  <si>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Subscription Price</t>
  </si>
  <si>
    <t>Soma de Total Value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</si>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</sst>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23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9BFA8A60-F0AA-4D40-A889-3BCFC1379737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F7F8FC"/>
      <color rgb="FFE0E0E0"/>
      <color rgb="FFE8E6E9"/>
      <color rgb="FF00000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 DASHBOARD DE VENDAS XBOX.xlsx]C̳álculos!Tabela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7.6154799005691803E-2"/>
              <c:y val="-8.602150537634486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8.614231362938908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258304161303869E-2"/>
          <c:y val="4.7311827956989246E-2"/>
          <c:w val="0.94824477397178142"/>
          <c:h val="0.905376344086021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6154799005691803E-2"/>
                  <c:y val="-8.60215053763448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A1-4519-A80A-51D6100CAAAF}"/>
                </c:ext>
              </c:extLst>
            </c:dLbl>
            <c:dLbl>
              <c:idx val="1"/>
              <c:layout>
                <c:manualLayout>
                  <c:x val="-8.614231362938908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A1-4519-A80A-51D6100CAA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_-"R$"\ * #,##0.00_-;\-"R$"\ * #,##0.00_-;_-"R$"\ * "-"??_-;_-@_-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1-4519-A80A-51D6100CAA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3986768"/>
        <c:axId val="1743976784"/>
      </c:barChart>
      <c:catAx>
        <c:axId val="174398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976784"/>
        <c:crosses val="autoZero"/>
        <c:auto val="1"/>
        <c:lblAlgn val="ctr"/>
        <c:lblOffset val="100"/>
        <c:noMultiLvlLbl val="0"/>
      </c:catAx>
      <c:valAx>
        <c:axId val="1743976784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7439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F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129540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129540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129539</xdr:rowOff>
    </xdr:from>
    <xdr:to>
      <xdr:col>4</xdr:col>
      <xdr:colOff>168351</xdr:colOff>
      <xdr:row>31</xdr:row>
      <xdr:rowOff>120015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8</xdr:row>
      <xdr:rowOff>8164</xdr:rowOff>
    </xdr:from>
    <xdr:to>
      <xdr:col>1</xdr:col>
      <xdr:colOff>251012</xdr:colOff>
      <xdr:row>16</xdr:row>
      <xdr:rowOff>44823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2D464C8F-18C1-47CF-B1E5-A980C0140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20423"/>
              <a:ext cx="1550894" cy="1471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112362</xdr:colOff>
      <xdr:row>6</xdr:row>
      <xdr:rowOff>374595</xdr:rowOff>
    </xdr:from>
    <xdr:to>
      <xdr:col>11</xdr:col>
      <xdr:colOff>199348</xdr:colOff>
      <xdr:row>19</xdr:row>
      <xdr:rowOff>43408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5399B5A0-D5FA-4FF3-9A3C-8E4002B40525}"/>
            </a:ext>
          </a:extLst>
        </xdr:cNvPr>
        <xdr:cNvGrpSpPr/>
      </xdr:nvGrpSpPr>
      <xdr:grpSpPr>
        <a:xfrm>
          <a:off x="1699115" y="1486219"/>
          <a:ext cx="6138162" cy="2241683"/>
          <a:chOff x="2409825" y="1563461"/>
          <a:chExt cx="4691061" cy="1700893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0522D80-8960-491D-BE70-812C82274025}"/>
              </a:ext>
            </a:extLst>
          </xdr:cNvPr>
          <xdr:cNvGrpSpPr/>
        </xdr:nvGrpSpPr>
        <xdr:grpSpPr>
          <a:xfrm>
            <a:off x="2410011" y="1756682"/>
            <a:ext cx="4690875" cy="1507672"/>
            <a:chOff x="3543300" y="1905000"/>
            <a:chExt cx="4600575" cy="1438275"/>
          </a:xfrm>
          <a:solidFill>
            <a:srgbClr val="F7F8FC"/>
          </a:solidFill>
        </xdr:grpSpPr>
        <xdr:sp macro="" textlink="C̳álculos!D15">
          <xdr:nvSpPr>
            <xdr:cNvPr id="3" name="Retângulo 2">
              <a:extLst>
                <a:ext uri="{FF2B5EF4-FFF2-40B4-BE49-F238E27FC236}">
                  <a16:creationId xmlns:a16="http://schemas.microsoft.com/office/drawing/2014/main" id="{42E09A0C-FBC3-45CF-A3E4-4A5B27B192EE}"/>
                </a:ext>
              </a:extLst>
            </xdr:cNvPr>
            <xdr:cNvSpPr/>
          </xdr:nvSpPr>
          <xdr:spPr>
            <a:xfrm>
              <a:off x="3543300" y="1905000"/>
              <a:ext cx="4600575" cy="1438275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9CC78CA-5C58-4CBF-9EE4-1F16F8642F0E}" type="TxLink">
                <a:rPr lang="en-US" sz="4000" b="1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R$ 1,350.00 </a:t>
              </a:fld>
              <a:endParaRPr lang="pt-BR" sz="19900" b="1">
                <a:solidFill>
                  <a:srgbClr val="22C55E"/>
                </a:solidFill>
              </a:endParaRPr>
            </a:p>
          </xdr:txBody>
        </xdr:sp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8CEE27F8-88CF-48A6-89C5-D7A40C57AA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548070" y="2190750"/>
              <a:ext cx="1083388" cy="904875"/>
            </a:xfrm>
            <a:prstGeom prst="rect">
              <a:avLst/>
            </a:prstGeom>
            <a:grpFill/>
          </xdr:spPr>
        </xdr:pic>
      </xdr:grp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69006CB9-5C56-4C87-AC54-64F3E1265A88}"/>
              </a:ext>
            </a:extLst>
          </xdr:cNvPr>
          <xdr:cNvSpPr/>
        </xdr:nvSpPr>
        <xdr:spPr>
          <a:xfrm>
            <a:off x="2409825" y="1563461"/>
            <a:ext cx="4686300" cy="45311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 editAs="absolute">
    <xdr:from>
      <xdr:col>12</xdr:col>
      <xdr:colOff>268946</xdr:colOff>
      <xdr:row>6</xdr:row>
      <xdr:rowOff>358276</xdr:rowOff>
    </xdr:from>
    <xdr:to>
      <xdr:col>21</xdr:col>
      <xdr:colOff>290412</xdr:colOff>
      <xdr:row>19</xdr:row>
      <xdr:rowOff>32369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7AFC539-1914-4C2F-ADEE-DCE7C3B50DAC}"/>
            </a:ext>
          </a:extLst>
        </xdr:cNvPr>
        <xdr:cNvGrpSpPr/>
      </xdr:nvGrpSpPr>
      <xdr:grpSpPr>
        <a:xfrm>
          <a:off x="8408899" y="1469900"/>
          <a:ext cx="6072642" cy="2246963"/>
          <a:chOff x="7562849" y="1609726"/>
          <a:chExt cx="4633911" cy="1652587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F76FB915-7360-4E94-A240-5CBF206B4C5A}"/>
              </a:ext>
            </a:extLst>
          </xdr:cNvPr>
          <xdr:cNvGrpSpPr/>
        </xdr:nvGrpSpPr>
        <xdr:grpSpPr>
          <a:xfrm>
            <a:off x="7567610" y="1985964"/>
            <a:ext cx="4629150" cy="1276349"/>
            <a:chOff x="7772399" y="1790701"/>
            <a:chExt cx="4629150" cy="1476375"/>
          </a:xfrm>
        </xdr:grpSpPr>
        <xdr:sp macro="" textlink="C̳álculos!D24">
          <xdr:nvSpPr>
            <xdr:cNvPr id="4" name="Retângulo 3">
              <a:extLst>
                <a:ext uri="{FF2B5EF4-FFF2-40B4-BE49-F238E27FC236}">
                  <a16:creationId xmlns:a16="http://schemas.microsoft.com/office/drawing/2014/main" id="{9F00DC28-8970-407C-988C-9C5DCB032C3B}"/>
                </a:ext>
              </a:extLst>
            </xdr:cNvPr>
            <xdr:cNvSpPr/>
          </xdr:nvSpPr>
          <xdr:spPr>
            <a:xfrm>
              <a:off x="7772399" y="1790701"/>
              <a:ext cx="4629150" cy="1476375"/>
            </a:xfrm>
            <a:prstGeom prst="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0087DE82-F0C2-4496-825D-2007C336D4DA}" type="TxLink">
                <a:rPr lang="en-US" sz="4000" b="1" i="0" u="none" strike="noStrike">
                  <a:solidFill>
                    <a:srgbClr val="22C55E"/>
                  </a:solidFill>
                  <a:latin typeface="Aptos Narrow"/>
                  <a:ea typeface="+mn-ea"/>
                  <a:cs typeface="+mn-cs"/>
                </a:rPr>
                <a:t> R$ 1,800.00 </a:t>
              </a:fld>
              <a:endParaRPr lang="pt-BR" sz="199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endParaRPr>
            </a:p>
          </xdr:txBody>
        </xdr:sp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D324C63A-679F-40F2-8277-C33168E9E269}"/>
                </a:ext>
              </a:extLst>
            </xdr:cNvPr>
            <xdr:cNvGrpSpPr/>
          </xdr:nvGrpSpPr>
          <xdr:grpSpPr>
            <a:xfrm>
              <a:off x="7867649" y="2119311"/>
              <a:ext cx="909638" cy="585789"/>
              <a:chOff x="3495675" y="5400674"/>
              <a:chExt cx="1549476" cy="752476"/>
            </a:xfrm>
          </xdr:grpSpPr>
          <xdr:pic>
            <xdr:nvPicPr>
              <xdr:cNvPr id="9" name="Imagem 8">
                <a:extLst>
                  <a:ext uri="{FF2B5EF4-FFF2-40B4-BE49-F238E27FC236}">
                    <a16:creationId xmlns:a16="http://schemas.microsoft.com/office/drawing/2014/main" id="{CE441617-4535-411B-9717-2C879FC9187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0" name="Gráfico 9">
                <a:extLst>
                  <a:ext uri="{FF2B5EF4-FFF2-40B4-BE49-F238E27FC236}">
                    <a16:creationId xmlns:a16="http://schemas.microsoft.com/office/drawing/2014/main" id="{C113C34A-A3E8-41B4-A124-918443894A5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9DFCEA2A-591C-455C-B975-ADCBFDEA5359}"/>
              </a:ext>
            </a:extLst>
          </xdr:cNvPr>
          <xdr:cNvSpPr/>
        </xdr:nvSpPr>
        <xdr:spPr>
          <a:xfrm>
            <a:off x="7562849" y="1609726"/>
            <a:ext cx="4630649" cy="44862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MINECRAFT</a:t>
            </a:r>
            <a:r>
              <a:rPr lang="pt-BR" sz="16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SEASON PASS</a:t>
            </a:r>
            <a:endParaRPr lang="pt-BR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2</xdr:col>
      <xdr:colOff>109743</xdr:colOff>
      <xdr:row>20</xdr:row>
      <xdr:rowOff>21457</xdr:rowOff>
    </xdr:from>
    <xdr:to>
      <xdr:col>21</xdr:col>
      <xdr:colOff>349624</xdr:colOff>
      <xdr:row>42</xdr:row>
      <xdr:rowOff>107577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28828D8C-80AA-4CD7-9372-15A3815A94CB}"/>
            </a:ext>
          </a:extLst>
        </xdr:cNvPr>
        <xdr:cNvGrpSpPr/>
      </xdr:nvGrpSpPr>
      <xdr:grpSpPr>
        <a:xfrm>
          <a:off x="1696496" y="3885245"/>
          <a:ext cx="12844257" cy="4030591"/>
          <a:chOff x="2159454" y="3488872"/>
          <a:chExt cx="12460060" cy="3858986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6B30122D-092C-41F4-9933-3A50F09B1152}"/>
              </a:ext>
            </a:extLst>
          </xdr:cNvPr>
          <xdr:cNvGraphicFramePr>
            <a:graphicFrameLocks/>
          </xdr:cNvGraphicFramePr>
        </xdr:nvGraphicFramePr>
        <xdr:xfrm>
          <a:off x="2163535" y="3541940"/>
          <a:ext cx="12445094" cy="38059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290306A5-7250-488D-BB9A-2D4E255C81E8}"/>
              </a:ext>
            </a:extLst>
          </xdr:cNvPr>
          <xdr:cNvSpPr/>
        </xdr:nvSpPr>
        <xdr:spPr>
          <a:xfrm>
            <a:off x="2159454" y="3488872"/>
            <a:ext cx="12460060" cy="54972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</a:t>
            </a:r>
            <a:r>
              <a:rPr lang="pt-BR" sz="16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GAME PASS</a:t>
            </a:r>
            <a:endParaRPr lang="pt-BR" sz="16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0</xdr:col>
      <xdr:colOff>0</xdr:colOff>
      <xdr:row>6</xdr:row>
      <xdr:rowOff>77478</xdr:rowOff>
    </xdr:from>
    <xdr:to>
      <xdr:col>3</xdr:col>
      <xdr:colOff>7044</xdr:colOff>
      <xdr:row>8</xdr:row>
      <xdr:rowOff>1919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28EDA66-7EF4-4BA5-8959-52D437FA1D1F}"/>
            </a:ext>
          </a:extLst>
        </xdr:cNvPr>
        <xdr:cNvSpPr/>
      </xdr:nvSpPr>
      <xdr:spPr>
        <a:xfrm>
          <a:off x="0" y="1189102"/>
          <a:ext cx="2266150" cy="5250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/>
            <a:t>&gt; Welcome, Amanda!</a:t>
          </a:r>
        </a:p>
      </xdr:txBody>
    </xdr:sp>
    <xdr:clientData/>
  </xdr:twoCellAnchor>
  <xdr:twoCellAnchor>
    <xdr:from>
      <xdr:col>1</xdr:col>
      <xdr:colOff>206825</xdr:colOff>
      <xdr:row>0</xdr:row>
      <xdr:rowOff>0</xdr:rowOff>
    </xdr:from>
    <xdr:to>
      <xdr:col>22</xdr:col>
      <xdr:colOff>0</xdr:colOff>
      <xdr:row>6</xdr:row>
      <xdr:rowOff>10886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02C76896-8E72-4447-80A8-5A9BB329627D}"/>
            </a:ext>
          </a:extLst>
        </xdr:cNvPr>
        <xdr:cNvSpPr/>
      </xdr:nvSpPr>
      <xdr:spPr>
        <a:xfrm>
          <a:off x="1506707" y="0"/>
          <a:ext cx="13580893" cy="112251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800" b="1">
              <a:solidFill>
                <a:schemeClr val="lt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XBOX GAME PASS SUBSCRIPTIONS SALES</a:t>
          </a:r>
          <a:endParaRPr lang="pt-BR" sz="1800"/>
        </a:p>
      </xdr:txBody>
    </xdr:sp>
    <xdr:clientData/>
  </xdr:twoCellAnchor>
  <xdr:twoCellAnchor editAs="absolute">
    <xdr:from>
      <xdr:col>0</xdr:col>
      <xdr:colOff>221557</xdr:colOff>
      <xdr:row>0</xdr:row>
      <xdr:rowOff>164567</xdr:rowOff>
    </xdr:from>
    <xdr:to>
      <xdr:col>0</xdr:col>
      <xdr:colOff>1237130</xdr:colOff>
      <xdr:row>6</xdr:row>
      <xdr:rowOff>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72706577-5411-4222-8346-00CB71DD06C1}"/>
            </a:ext>
          </a:extLst>
        </xdr:cNvPr>
        <xdr:cNvSpPr/>
      </xdr:nvSpPr>
      <xdr:spPr>
        <a:xfrm>
          <a:off x="221557" y="164567"/>
          <a:ext cx="1015573" cy="947058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4</xdr:col>
      <xdr:colOff>562215</xdr:colOff>
      <xdr:row>1</xdr:row>
      <xdr:rowOff>4484</xdr:rowOff>
    </xdr:from>
    <xdr:to>
      <xdr:col>5</xdr:col>
      <xdr:colOff>650764</xdr:colOff>
      <xdr:row>5</xdr:row>
      <xdr:rowOff>17930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CAB77E4-AC2F-45E1-B2BB-0B931D9C77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494314" y="178655"/>
          <a:ext cx="760902" cy="825393"/>
        </a:xfrm>
        <a:prstGeom prst="rect">
          <a:avLst/>
        </a:prstGeom>
      </xdr:spPr>
    </xdr:pic>
    <xdr:clientData/>
  </xdr:twoCellAnchor>
  <xdr:twoCellAnchor editAs="absolute">
    <xdr:from>
      <xdr:col>2</xdr:col>
      <xdr:colOff>152399</xdr:colOff>
      <xdr:row>6</xdr:row>
      <xdr:rowOff>107576</xdr:rowOff>
    </xdr:from>
    <xdr:to>
      <xdr:col>10</xdr:col>
      <xdr:colOff>421342</xdr:colOff>
      <xdr:row>6</xdr:row>
      <xdr:rowOff>331693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27411854-F3B5-4EBD-A275-A1295F46259D}"/>
            </a:ext>
          </a:extLst>
        </xdr:cNvPr>
        <xdr:cNvSpPr/>
      </xdr:nvSpPr>
      <xdr:spPr>
        <a:xfrm>
          <a:off x="1739152" y="1219200"/>
          <a:ext cx="5647766" cy="2241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14/04/2026 02:44:35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a Honório Alves" refreshedDate="46126.571072453706" createdVersion="7" refreshedVersion="7" minRefreshableVersion="3" recordCount="295" xr:uid="{0F4B82D9-276E-42BF-9E7C-9E51A8FF6065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24"/>
        </groupItems>
      </fieldGroup>
    </cacheField>
  </cacheFields>
  <extLst>
    <ext xmlns:x14="http://schemas.microsoft.com/office/spreadsheetml/2009/9/main" uri="{725AE2AE-9491-48be-B2B4-4EB974FC3084}">
      <x14:pivotCacheDefinition pivotCacheId="12729255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x v="0"/>
    <x v="0"/>
    <x v="0"/>
    <n v="30"/>
    <s v="Yes"/>
    <n v="20"/>
    <n v="5"/>
    <x v="0"/>
  </r>
  <r>
    <x v="1"/>
    <x v="1"/>
    <x v="1"/>
    <x v="1"/>
    <x v="1"/>
    <x v="1"/>
    <x v="1"/>
    <x v="1"/>
    <s v="-"/>
    <s v="No"/>
    <n v="0"/>
    <n v="0"/>
    <x v="1"/>
  </r>
  <r>
    <x v="2"/>
    <x v="2"/>
    <x v="2"/>
    <x v="2"/>
    <x v="0"/>
    <x v="2"/>
    <x v="2"/>
    <x v="1"/>
    <s v="-"/>
    <s v="Yes"/>
    <n v="20"/>
    <n v="10"/>
    <x v="2"/>
  </r>
  <r>
    <x v="3"/>
    <x v="3"/>
    <x v="0"/>
    <x v="3"/>
    <x v="1"/>
    <x v="0"/>
    <x v="0"/>
    <x v="0"/>
    <n v="30"/>
    <s v="Yes"/>
    <n v="20"/>
    <n v="3"/>
    <x v="3"/>
  </r>
  <r>
    <x v="4"/>
    <x v="4"/>
    <x v="1"/>
    <x v="4"/>
    <x v="0"/>
    <x v="1"/>
    <x v="0"/>
    <x v="1"/>
    <s v="-"/>
    <s v="No"/>
    <n v="0"/>
    <n v="1"/>
    <x v="4"/>
  </r>
  <r>
    <x v="5"/>
    <x v="5"/>
    <x v="2"/>
    <x v="5"/>
    <x v="1"/>
    <x v="2"/>
    <x v="0"/>
    <x v="1"/>
    <s v="-"/>
    <s v="Yes"/>
    <n v="20"/>
    <n v="2"/>
    <x v="5"/>
  </r>
  <r>
    <x v="6"/>
    <x v="6"/>
    <x v="0"/>
    <x v="6"/>
    <x v="0"/>
    <x v="0"/>
    <x v="2"/>
    <x v="0"/>
    <n v="30"/>
    <s v="Yes"/>
    <n v="20"/>
    <n v="10"/>
    <x v="6"/>
  </r>
  <r>
    <x v="7"/>
    <x v="7"/>
    <x v="1"/>
    <x v="7"/>
    <x v="0"/>
    <x v="1"/>
    <x v="1"/>
    <x v="1"/>
    <s v="-"/>
    <s v="No"/>
    <n v="0"/>
    <n v="0"/>
    <x v="1"/>
  </r>
  <r>
    <x v="8"/>
    <x v="8"/>
    <x v="0"/>
    <x v="4"/>
    <x v="1"/>
    <x v="0"/>
    <x v="0"/>
    <x v="0"/>
    <n v="30"/>
    <s v="Yes"/>
    <n v="20"/>
    <n v="5"/>
    <x v="0"/>
  </r>
  <r>
    <x v="9"/>
    <x v="9"/>
    <x v="2"/>
    <x v="8"/>
    <x v="0"/>
    <x v="2"/>
    <x v="2"/>
    <x v="1"/>
    <s v="-"/>
    <s v="Yes"/>
    <n v="20"/>
    <n v="15"/>
    <x v="7"/>
  </r>
  <r>
    <x v="10"/>
    <x v="10"/>
    <x v="1"/>
    <x v="9"/>
    <x v="1"/>
    <x v="1"/>
    <x v="0"/>
    <x v="1"/>
    <s v="-"/>
    <s v="No"/>
    <n v="0"/>
    <n v="1"/>
    <x v="4"/>
  </r>
  <r>
    <x v="11"/>
    <x v="11"/>
    <x v="0"/>
    <x v="10"/>
    <x v="0"/>
    <x v="0"/>
    <x v="1"/>
    <x v="0"/>
    <n v="30"/>
    <s v="Yes"/>
    <n v="20"/>
    <n v="20"/>
    <x v="8"/>
  </r>
  <r>
    <x v="12"/>
    <x v="12"/>
    <x v="2"/>
    <x v="11"/>
    <x v="1"/>
    <x v="2"/>
    <x v="0"/>
    <x v="1"/>
    <s v="-"/>
    <s v="Yes"/>
    <n v="20"/>
    <n v="10"/>
    <x v="2"/>
  </r>
  <r>
    <x v="13"/>
    <x v="13"/>
    <x v="1"/>
    <x v="12"/>
    <x v="0"/>
    <x v="1"/>
    <x v="2"/>
    <x v="1"/>
    <s v="-"/>
    <s v="No"/>
    <n v="0"/>
    <n v="0"/>
    <x v="1"/>
  </r>
  <r>
    <x v="14"/>
    <x v="14"/>
    <x v="0"/>
    <x v="13"/>
    <x v="1"/>
    <x v="0"/>
    <x v="0"/>
    <x v="0"/>
    <n v="30"/>
    <s v="Yes"/>
    <n v="20"/>
    <n v="8"/>
    <x v="9"/>
  </r>
  <r>
    <x v="15"/>
    <x v="15"/>
    <x v="2"/>
    <x v="14"/>
    <x v="0"/>
    <x v="2"/>
    <x v="1"/>
    <x v="1"/>
    <s v="-"/>
    <s v="Yes"/>
    <n v="20"/>
    <n v="12"/>
    <x v="10"/>
  </r>
  <r>
    <x v="16"/>
    <x v="16"/>
    <x v="1"/>
    <x v="15"/>
    <x v="1"/>
    <x v="1"/>
    <x v="0"/>
    <x v="1"/>
    <s v="-"/>
    <s v="No"/>
    <n v="0"/>
    <n v="2"/>
    <x v="11"/>
  </r>
  <r>
    <x v="17"/>
    <x v="17"/>
    <x v="0"/>
    <x v="16"/>
    <x v="0"/>
    <x v="0"/>
    <x v="2"/>
    <x v="0"/>
    <n v="30"/>
    <s v="Yes"/>
    <n v="20"/>
    <n v="7"/>
    <x v="12"/>
  </r>
  <r>
    <x v="18"/>
    <x v="18"/>
    <x v="2"/>
    <x v="17"/>
    <x v="1"/>
    <x v="2"/>
    <x v="0"/>
    <x v="1"/>
    <s v="-"/>
    <s v="Yes"/>
    <n v="20"/>
    <n v="5"/>
    <x v="13"/>
  </r>
  <r>
    <x v="19"/>
    <x v="19"/>
    <x v="1"/>
    <x v="18"/>
    <x v="0"/>
    <x v="1"/>
    <x v="1"/>
    <x v="1"/>
    <s v="-"/>
    <s v="No"/>
    <n v="0"/>
    <n v="0"/>
    <x v="1"/>
  </r>
  <r>
    <x v="20"/>
    <x v="20"/>
    <x v="0"/>
    <x v="19"/>
    <x v="1"/>
    <x v="0"/>
    <x v="0"/>
    <x v="0"/>
    <n v="30"/>
    <s v="Yes"/>
    <n v="20"/>
    <n v="3"/>
    <x v="3"/>
  </r>
  <r>
    <x v="21"/>
    <x v="21"/>
    <x v="2"/>
    <x v="20"/>
    <x v="0"/>
    <x v="2"/>
    <x v="2"/>
    <x v="1"/>
    <s v="-"/>
    <s v="Yes"/>
    <n v="20"/>
    <n v="15"/>
    <x v="7"/>
  </r>
  <r>
    <x v="22"/>
    <x v="22"/>
    <x v="1"/>
    <x v="21"/>
    <x v="1"/>
    <x v="1"/>
    <x v="0"/>
    <x v="1"/>
    <s v="-"/>
    <s v="No"/>
    <n v="0"/>
    <n v="1"/>
    <x v="4"/>
  </r>
  <r>
    <x v="23"/>
    <x v="23"/>
    <x v="0"/>
    <x v="22"/>
    <x v="0"/>
    <x v="0"/>
    <x v="1"/>
    <x v="0"/>
    <n v="30"/>
    <s v="Yes"/>
    <n v="20"/>
    <n v="20"/>
    <x v="8"/>
  </r>
  <r>
    <x v="24"/>
    <x v="24"/>
    <x v="2"/>
    <x v="23"/>
    <x v="1"/>
    <x v="2"/>
    <x v="0"/>
    <x v="1"/>
    <s v="-"/>
    <s v="Yes"/>
    <n v="20"/>
    <n v="10"/>
    <x v="2"/>
  </r>
  <r>
    <x v="25"/>
    <x v="25"/>
    <x v="1"/>
    <x v="24"/>
    <x v="0"/>
    <x v="1"/>
    <x v="2"/>
    <x v="1"/>
    <s v="-"/>
    <s v="No"/>
    <n v="0"/>
    <n v="0"/>
    <x v="1"/>
  </r>
  <r>
    <x v="26"/>
    <x v="26"/>
    <x v="0"/>
    <x v="25"/>
    <x v="1"/>
    <x v="0"/>
    <x v="0"/>
    <x v="0"/>
    <n v="30"/>
    <s v="Yes"/>
    <n v="20"/>
    <n v="5"/>
    <x v="0"/>
  </r>
  <r>
    <x v="27"/>
    <x v="27"/>
    <x v="2"/>
    <x v="26"/>
    <x v="0"/>
    <x v="2"/>
    <x v="1"/>
    <x v="1"/>
    <s v="-"/>
    <s v="Yes"/>
    <n v="20"/>
    <n v="15"/>
    <x v="7"/>
  </r>
  <r>
    <x v="28"/>
    <x v="28"/>
    <x v="1"/>
    <x v="27"/>
    <x v="1"/>
    <x v="1"/>
    <x v="0"/>
    <x v="1"/>
    <s v="-"/>
    <s v="No"/>
    <n v="0"/>
    <n v="1"/>
    <x v="4"/>
  </r>
  <r>
    <x v="29"/>
    <x v="29"/>
    <x v="0"/>
    <x v="28"/>
    <x v="0"/>
    <x v="0"/>
    <x v="2"/>
    <x v="0"/>
    <n v="30"/>
    <s v="Yes"/>
    <n v="20"/>
    <n v="7"/>
    <x v="12"/>
  </r>
  <r>
    <x v="30"/>
    <x v="30"/>
    <x v="2"/>
    <x v="29"/>
    <x v="1"/>
    <x v="2"/>
    <x v="0"/>
    <x v="1"/>
    <s v="-"/>
    <s v="Yes"/>
    <n v="20"/>
    <n v="10"/>
    <x v="2"/>
  </r>
  <r>
    <x v="31"/>
    <x v="31"/>
    <x v="1"/>
    <x v="30"/>
    <x v="0"/>
    <x v="1"/>
    <x v="1"/>
    <x v="1"/>
    <s v="-"/>
    <s v="No"/>
    <n v="0"/>
    <n v="0"/>
    <x v="1"/>
  </r>
  <r>
    <x v="32"/>
    <x v="32"/>
    <x v="0"/>
    <x v="31"/>
    <x v="1"/>
    <x v="0"/>
    <x v="0"/>
    <x v="0"/>
    <n v="30"/>
    <s v="Yes"/>
    <n v="20"/>
    <n v="3"/>
    <x v="3"/>
  </r>
  <r>
    <x v="33"/>
    <x v="33"/>
    <x v="2"/>
    <x v="32"/>
    <x v="0"/>
    <x v="2"/>
    <x v="2"/>
    <x v="1"/>
    <s v="-"/>
    <s v="Yes"/>
    <n v="20"/>
    <n v="15"/>
    <x v="7"/>
  </r>
  <r>
    <x v="34"/>
    <x v="34"/>
    <x v="1"/>
    <x v="33"/>
    <x v="1"/>
    <x v="1"/>
    <x v="0"/>
    <x v="1"/>
    <s v="-"/>
    <s v="No"/>
    <n v="0"/>
    <n v="1"/>
    <x v="4"/>
  </r>
  <r>
    <x v="35"/>
    <x v="35"/>
    <x v="1"/>
    <x v="34"/>
    <x v="0"/>
    <x v="1"/>
    <x v="0"/>
    <x v="1"/>
    <s v="-"/>
    <s v="No"/>
    <n v="0"/>
    <n v="0"/>
    <x v="1"/>
  </r>
  <r>
    <x v="36"/>
    <x v="36"/>
    <x v="0"/>
    <x v="35"/>
    <x v="1"/>
    <x v="0"/>
    <x v="2"/>
    <x v="0"/>
    <n v="30"/>
    <s v="Yes"/>
    <n v="20"/>
    <n v="7"/>
    <x v="12"/>
  </r>
  <r>
    <x v="37"/>
    <x v="37"/>
    <x v="2"/>
    <x v="36"/>
    <x v="0"/>
    <x v="2"/>
    <x v="1"/>
    <x v="1"/>
    <s v="-"/>
    <s v="Yes"/>
    <n v="20"/>
    <n v="10"/>
    <x v="2"/>
  </r>
  <r>
    <x v="38"/>
    <x v="38"/>
    <x v="1"/>
    <x v="37"/>
    <x v="1"/>
    <x v="1"/>
    <x v="2"/>
    <x v="1"/>
    <s v="-"/>
    <s v="No"/>
    <n v="0"/>
    <n v="1"/>
    <x v="4"/>
  </r>
  <r>
    <x v="39"/>
    <x v="39"/>
    <x v="0"/>
    <x v="38"/>
    <x v="0"/>
    <x v="0"/>
    <x v="0"/>
    <x v="0"/>
    <n v="30"/>
    <s v="Yes"/>
    <n v="20"/>
    <n v="15"/>
    <x v="14"/>
  </r>
  <r>
    <x v="40"/>
    <x v="40"/>
    <x v="2"/>
    <x v="39"/>
    <x v="1"/>
    <x v="2"/>
    <x v="0"/>
    <x v="1"/>
    <s v="-"/>
    <s v="Yes"/>
    <n v="20"/>
    <n v="5"/>
    <x v="13"/>
  </r>
  <r>
    <x v="41"/>
    <x v="41"/>
    <x v="1"/>
    <x v="40"/>
    <x v="0"/>
    <x v="1"/>
    <x v="1"/>
    <x v="1"/>
    <s v="-"/>
    <s v="No"/>
    <n v="0"/>
    <n v="0"/>
    <x v="1"/>
  </r>
  <r>
    <x v="42"/>
    <x v="42"/>
    <x v="0"/>
    <x v="41"/>
    <x v="1"/>
    <x v="0"/>
    <x v="2"/>
    <x v="0"/>
    <n v="30"/>
    <s v="Yes"/>
    <n v="20"/>
    <n v="20"/>
    <x v="8"/>
  </r>
  <r>
    <x v="43"/>
    <x v="43"/>
    <x v="2"/>
    <x v="42"/>
    <x v="0"/>
    <x v="2"/>
    <x v="2"/>
    <x v="1"/>
    <s v="-"/>
    <s v="Yes"/>
    <n v="20"/>
    <n v="12"/>
    <x v="10"/>
  </r>
  <r>
    <x v="44"/>
    <x v="44"/>
    <x v="1"/>
    <x v="43"/>
    <x v="1"/>
    <x v="1"/>
    <x v="0"/>
    <x v="1"/>
    <s v="-"/>
    <s v="No"/>
    <n v="0"/>
    <n v="2"/>
    <x v="11"/>
  </r>
  <r>
    <x v="45"/>
    <x v="45"/>
    <x v="0"/>
    <x v="44"/>
    <x v="0"/>
    <x v="0"/>
    <x v="1"/>
    <x v="0"/>
    <n v="30"/>
    <s v="Yes"/>
    <n v="20"/>
    <n v="5"/>
    <x v="0"/>
  </r>
  <r>
    <x v="46"/>
    <x v="46"/>
    <x v="2"/>
    <x v="45"/>
    <x v="1"/>
    <x v="2"/>
    <x v="0"/>
    <x v="1"/>
    <s v="-"/>
    <s v="Yes"/>
    <n v="20"/>
    <n v="10"/>
    <x v="2"/>
  </r>
  <r>
    <x v="47"/>
    <x v="47"/>
    <x v="1"/>
    <x v="46"/>
    <x v="0"/>
    <x v="1"/>
    <x v="2"/>
    <x v="1"/>
    <s v="-"/>
    <s v="No"/>
    <n v="0"/>
    <n v="0"/>
    <x v="1"/>
  </r>
  <r>
    <x v="48"/>
    <x v="48"/>
    <x v="0"/>
    <x v="47"/>
    <x v="1"/>
    <x v="0"/>
    <x v="0"/>
    <x v="0"/>
    <n v="30"/>
    <s v="Yes"/>
    <n v="20"/>
    <n v="3"/>
    <x v="3"/>
  </r>
  <r>
    <x v="49"/>
    <x v="49"/>
    <x v="2"/>
    <x v="48"/>
    <x v="0"/>
    <x v="2"/>
    <x v="1"/>
    <x v="1"/>
    <s v="-"/>
    <s v="Yes"/>
    <n v="20"/>
    <n v="15"/>
    <x v="7"/>
  </r>
  <r>
    <x v="50"/>
    <x v="50"/>
    <x v="1"/>
    <x v="49"/>
    <x v="1"/>
    <x v="1"/>
    <x v="0"/>
    <x v="1"/>
    <s v="-"/>
    <s v="No"/>
    <n v="0"/>
    <n v="1"/>
    <x v="4"/>
  </r>
  <r>
    <x v="51"/>
    <x v="51"/>
    <x v="0"/>
    <x v="50"/>
    <x v="0"/>
    <x v="0"/>
    <x v="2"/>
    <x v="0"/>
    <n v="30"/>
    <s v="Yes"/>
    <n v="20"/>
    <n v="7"/>
    <x v="12"/>
  </r>
  <r>
    <x v="52"/>
    <x v="52"/>
    <x v="2"/>
    <x v="51"/>
    <x v="1"/>
    <x v="2"/>
    <x v="0"/>
    <x v="1"/>
    <s v="-"/>
    <s v="Yes"/>
    <n v="20"/>
    <n v="10"/>
    <x v="2"/>
  </r>
  <r>
    <x v="53"/>
    <x v="53"/>
    <x v="1"/>
    <x v="52"/>
    <x v="0"/>
    <x v="1"/>
    <x v="1"/>
    <x v="1"/>
    <s v="-"/>
    <s v="No"/>
    <n v="0"/>
    <n v="0"/>
    <x v="1"/>
  </r>
  <r>
    <x v="54"/>
    <x v="54"/>
    <x v="0"/>
    <x v="53"/>
    <x v="1"/>
    <x v="0"/>
    <x v="0"/>
    <x v="0"/>
    <n v="30"/>
    <s v="Yes"/>
    <n v="20"/>
    <n v="20"/>
    <x v="8"/>
  </r>
  <r>
    <x v="55"/>
    <x v="55"/>
    <x v="2"/>
    <x v="54"/>
    <x v="0"/>
    <x v="2"/>
    <x v="2"/>
    <x v="1"/>
    <s v="-"/>
    <s v="Yes"/>
    <n v="20"/>
    <n v="15"/>
    <x v="7"/>
  </r>
  <r>
    <x v="56"/>
    <x v="56"/>
    <x v="1"/>
    <x v="55"/>
    <x v="1"/>
    <x v="1"/>
    <x v="0"/>
    <x v="1"/>
    <s v="-"/>
    <s v="No"/>
    <n v="0"/>
    <n v="1"/>
    <x v="4"/>
  </r>
  <r>
    <x v="57"/>
    <x v="57"/>
    <x v="0"/>
    <x v="56"/>
    <x v="0"/>
    <x v="0"/>
    <x v="1"/>
    <x v="0"/>
    <n v="30"/>
    <s v="Yes"/>
    <n v="20"/>
    <n v="3"/>
    <x v="3"/>
  </r>
  <r>
    <x v="58"/>
    <x v="58"/>
    <x v="2"/>
    <x v="57"/>
    <x v="1"/>
    <x v="2"/>
    <x v="0"/>
    <x v="1"/>
    <s v="-"/>
    <s v="Yes"/>
    <n v="20"/>
    <n v="10"/>
    <x v="2"/>
  </r>
  <r>
    <x v="59"/>
    <x v="59"/>
    <x v="1"/>
    <x v="58"/>
    <x v="0"/>
    <x v="1"/>
    <x v="2"/>
    <x v="1"/>
    <s v="-"/>
    <s v="No"/>
    <n v="0"/>
    <n v="0"/>
    <x v="1"/>
  </r>
  <r>
    <x v="60"/>
    <x v="60"/>
    <x v="0"/>
    <x v="59"/>
    <x v="1"/>
    <x v="0"/>
    <x v="0"/>
    <x v="0"/>
    <n v="30"/>
    <s v="Yes"/>
    <n v="20"/>
    <n v="5"/>
    <x v="0"/>
  </r>
  <r>
    <x v="61"/>
    <x v="61"/>
    <x v="2"/>
    <x v="60"/>
    <x v="0"/>
    <x v="2"/>
    <x v="1"/>
    <x v="1"/>
    <s v="-"/>
    <s v="Yes"/>
    <n v="20"/>
    <n v="15"/>
    <x v="7"/>
  </r>
  <r>
    <x v="62"/>
    <x v="62"/>
    <x v="1"/>
    <x v="61"/>
    <x v="1"/>
    <x v="1"/>
    <x v="0"/>
    <x v="1"/>
    <s v="-"/>
    <s v="No"/>
    <n v="0"/>
    <n v="1"/>
    <x v="4"/>
  </r>
  <r>
    <x v="63"/>
    <x v="63"/>
    <x v="0"/>
    <x v="62"/>
    <x v="0"/>
    <x v="0"/>
    <x v="2"/>
    <x v="0"/>
    <n v="30"/>
    <s v="Yes"/>
    <n v="20"/>
    <n v="20"/>
    <x v="8"/>
  </r>
  <r>
    <x v="64"/>
    <x v="64"/>
    <x v="2"/>
    <x v="63"/>
    <x v="1"/>
    <x v="2"/>
    <x v="0"/>
    <x v="1"/>
    <s v="-"/>
    <s v="Yes"/>
    <n v="20"/>
    <n v="5"/>
    <x v="13"/>
  </r>
  <r>
    <x v="65"/>
    <x v="65"/>
    <x v="1"/>
    <x v="64"/>
    <x v="1"/>
    <x v="1"/>
    <x v="0"/>
    <x v="1"/>
    <s v="-"/>
    <s v="No"/>
    <n v="0"/>
    <n v="0"/>
    <x v="1"/>
  </r>
  <r>
    <x v="66"/>
    <x v="66"/>
    <x v="0"/>
    <x v="65"/>
    <x v="0"/>
    <x v="0"/>
    <x v="2"/>
    <x v="0"/>
    <n v="30"/>
    <s v="Yes"/>
    <n v="20"/>
    <n v="7"/>
    <x v="12"/>
  </r>
  <r>
    <x v="67"/>
    <x v="67"/>
    <x v="2"/>
    <x v="66"/>
    <x v="1"/>
    <x v="2"/>
    <x v="1"/>
    <x v="1"/>
    <s v="-"/>
    <s v="Yes"/>
    <n v="20"/>
    <n v="10"/>
    <x v="2"/>
  </r>
  <r>
    <x v="68"/>
    <x v="68"/>
    <x v="1"/>
    <x v="67"/>
    <x v="0"/>
    <x v="1"/>
    <x v="2"/>
    <x v="1"/>
    <s v="-"/>
    <s v="No"/>
    <n v="0"/>
    <n v="1"/>
    <x v="4"/>
  </r>
  <r>
    <x v="69"/>
    <x v="69"/>
    <x v="0"/>
    <x v="68"/>
    <x v="1"/>
    <x v="0"/>
    <x v="0"/>
    <x v="0"/>
    <n v="30"/>
    <s v="Yes"/>
    <n v="20"/>
    <n v="15"/>
    <x v="14"/>
  </r>
  <r>
    <x v="70"/>
    <x v="70"/>
    <x v="2"/>
    <x v="69"/>
    <x v="0"/>
    <x v="2"/>
    <x v="0"/>
    <x v="1"/>
    <s v="-"/>
    <s v="Yes"/>
    <n v="20"/>
    <n v="5"/>
    <x v="13"/>
  </r>
  <r>
    <x v="71"/>
    <x v="71"/>
    <x v="1"/>
    <x v="70"/>
    <x v="1"/>
    <x v="1"/>
    <x v="1"/>
    <x v="1"/>
    <s v="-"/>
    <s v="No"/>
    <n v="0"/>
    <n v="0"/>
    <x v="1"/>
  </r>
  <r>
    <x v="72"/>
    <x v="72"/>
    <x v="0"/>
    <x v="71"/>
    <x v="0"/>
    <x v="0"/>
    <x v="2"/>
    <x v="0"/>
    <n v="30"/>
    <s v="Yes"/>
    <n v="20"/>
    <n v="20"/>
    <x v="8"/>
  </r>
  <r>
    <x v="73"/>
    <x v="73"/>
    <x v="2"/>
    <x v="72"/>
    <x v="1"/>
    <x v="2"/>
    <x v="2"/>
    <x v="1"/>
    <s v="-"/>
    <s v="Yes"/>
    <n v="20"/>
    <n v="12"/>
    <x v="10"/>
  </r>
  <r>
    <x v="74"/>
    <x v="74"/>
    <x v="1"/>
    <x v="73"/>
    <x v="0"/>
    <x v="1"/>
    <x v="0"/>
    <x v="1"/>
    <s v="-"/>
    <s v="No"/>
    <n v="0"/>
    <n v="2"/>
    <x v="11"/>
  </r>
  <r>
    <x v="75"/>
    <x v="75"/>
    <x v="0"/>
    <x v="74"/>
    <x v="1"/>
    <x v="0"/>
    <x v="1"/>
    <x v="0"/>
    <n v="30"/>
    <s v="Yes"/>
    <n v="20"/>
    <n v="5"/>
    <x v="0"/>
  </r>
  <r>
    <x v="76"/>
    <x v="76"/>
    <x v="2"/>
    <x v="75"/>
    <x v="0"/>
    <x v="2"/>
    <x v="0"/>
    <x v="1"/>
    <s v="-"/>
    <s v="Yes"/>
    <n v="20"/>
    <n v="10"/>
    <x v="2"/>
  </r>
  <r>
    <x v="77"/>
    <x v="77"/>
    <x v="1"/>
    <x v="76"/>
    <x v="1"/>
    <x v="1"/>
    <x v="2"/>
    <x v="1"/>
    <s v="-"/>
    <s v="No"/>
    <n v="0"/>
    <n v="0"/>
    <x v="1"/>
  </r>
  <r>
    <x v="78"/>
    <x v="78"/>
    <x v="0"/>
    <x v="77"/>
    <x v="0"/>
    <x v="0"/>
    <x v="0"/>
    <x v="0"/>
    <n v="30"/>
    <s v="Yes"/>
    <n v="20"/>
    <n v="3"/>
    <x v="3"/>
  </r>
  <r>
    <x v="79"/>
    <x v="79"/>
    <x v="2"/>
    <x v="78"/>
    <x v="1"/>
    <x v="2"/>
    <x v="1"/>
    <x v="1"/>
    <s v="-"/>
    <s v="Yes"/>
    <n v="20"/>
    <n v="15"/>
    <x v="7"/>
  </r>
  <r>
    <x v="80"/>
    <x v="80"/>
    <x v="1"/>
    <x v="79"/>
    <x v="0"/>
    <x v="1"/>
    <x v="0"/>
    <x v="1"/>
    <s v="-"/>
    <s v="No"/>
    <n v="0"/>
    <n v="1"/>
    <x v="4"/>
  </r>
  <r>
    <x v="81"/>
    <x v="81"/>
    <x v="0"/>
    <x v="80"/>
    <x v="1"/>
    <x v="0"/>
    <x v="2"/>
    <x v="0"/>
    <n v="30"/>
    <s v="Yes"/>
    <n v="20"/>
    <n v="7"/>
    <x v="12"/>
  </r>
  <r>
    <x v="82"/>
    <x v="82"/>
    <x v="2"/>
    <x v="81"/>
    <x v="0"/>
    <x v="2"/>
    <x v="0"/>
    <x v="1"/>
    <s v="-"/>
    <s v="Yes"/>
    <n v="20"/>
    <n v="10"/>
    <x v="2"/>
  </r>
  <r>
    <x v="83"/>
    <x v="83"/>
    <x v="1"/>
    <x v="82"/>
    <x v="1"/>
    <x v="1"/>
    <x v="1"/>
    <x v="1"/>
    <s v="-"/>
    <s v="No"/>
    <n v="0"/>
    <n v="0"/>
    <x v="1"/>
  </r>
  <r>
    <x v="84"/>
    <x v="84"/>
    <x v="0"/>
    <x v="83"/>
    <x v="0"/>
    <x v="0"/>
    <x v="0"/>
    <x v="0"/>
    <n v="30"/>
    <s v="Yes"/>
    <n v="20"/>
    <n v="20"/>
    <x v="8"/>
  </r>
  <r>
    <x v="85"/>
    <x v="85"/>
    <x v="2"/>
    <x v="84"/>
    <x v="1"/>
    <x v="2"/>
    <x v="2"/>
    <x v="1"/>
    <s v="-"/>
    <s v="Yes"/>
    <n v="20"/>
    <n v="15"/>
    <x v="7"/>
  </r>
  <r>
    <x v="86"/>
    <x v="86"/>
    <x v="1"/>
    <x v="85"/>
    <x v="0"/>
    <x v="1"/>
    <x v="0"/>
    <x v="1"/>
    <s v="-"/>
    <s v="No"/>
    <n v="0"/>
    <n v="1"/>
    <x v="4"/>
  </r>
  <r>
    <x v="87"/>
    <x v="87"/>
    <x v="0"/>
    <x v="86"/>
    <x v="1"/>
    <x v="0"/>
    <x v="1"/>
    <x v="0"/>
    <n v="30"/>
    <s v="Yes"/>
    <n v="20"/>
    <n v="3"/>
    <x v="3"/>
  </r>
  <r>
    <x v="88"/>
    <x v="88"/>
    <x v="2"/>
    <x v="87"/>
    <x v="0"/>
    <x v="2"/>
    <x v="0"/>
    <x v="1"/>
    <s v="-"/>
    <s v="Yes"/>
    <n v="20"/>
    <n v="10"/>
    <x v="2"/>
  </r>
  <r>
    <x v="89"/>
    <x v="89"/>
    <x v="1"/>
    <x v="88"/>
    <x v="1"/>
    <x v="1"/>
    <x v="2"/>
    <x v="1"/>
    <s v="-"/>
    <s v="No"/>
    <n v="0"/>
    <n v="0"/>
    <x v="1"/>
  </r>
  <r>
    <x v="90"/>
    <x v="90"/>
    <x v="0"/>
    <x v="89"/>
    <x v="0"/>
    <x v="0"/>
    <x v="0"/>
    <x v="0"/>
    <n v="30"/>
    <s v="Yes"/>
    <n v="20"/>
    <n v="5"/>
    <x v="0"/>
  </r>
  <r>
    <x v="91"/>
    <x v="91"/>
    <x v="2"/>
    <x v="90"/>
    <x v="1"/>
    <x v="2"/>
    <x v="1"/>
    <x v="1"/>
    <s v="-"/>
    <s v="Yes"/>
    <n v="20"/>
    <n v="15"/>
    <x v="7"/>
  </r>
  <r>
    <x v="92"/>
    <x v="92"/>
    <x v="1"/>
    <x v="91"/>
    <x v="0"/>
    <x v="1"/>
    <x v="0"/>
    <x v="1"/>
    <s v="-"/>
    <s v="No"/>
    <n v="0"/>
    <n v="1"/>
    <x v="4"/>
  </r>
  <r>
    <x v="93"/>
    <x v="93"/>
    <x v="0"/>
    <x v="92"/>
    <x v="1"/>
    <x v="0"/>
    <x v="2"/>
    <x v="0"/>
    <n v="30"/>
    <s v="Yes"/>
    <n v="20"/>
    <n v="20"/>
    <x v="8"/>
  </r>
  <r>
    <x v="94"/>
    <x v="94"/>
    <x v="2"/>
    <x v="93"/>
    <x v="0"/>
    <x v="2"/>
    <x v="2"/>
    <x v="1"/>
    <s v="-"/>
    <s v="Yes"/>
    <n v="20"/>
    <n v="15"/>
    <x v="7"/>
  </r>
  <r>
    <x v="95"/>
    <x v="95"/>
    <x v="1"/>
    <x v="94"/>
    <x v="1"/>
    <x v="1"/>
    <x v="1"/>
    <x v="1"/>
    <s v="-"/>
    <s v="No"/>
    <n v="0"/>
    <n v="0"/>
    <x v="1"/>
  </r>
  <r>
    <x v="96"/>
    <x v="96"/>
    <x v="0"/>
    <x v="95"/>
    <x v="0"/>
    <x v="0"/>
    <x v="0"/>
    <x v="0"/>
    <n v="30"/>
    <s v="Yes"/>
    <n v="20"/>
    <n v="7"/>
    <x v="12"/>
  </r>
  <r>
    <x v="97"/>
    <x v="97"/>
    <x v="2"/>
    <x v="96"/>
    <x v="1"/>
    <x v="2"/>
    <x v="1"/>
    <x v="1"/>
    <s v="-"/>
    <s v="Yes"/>
    <n v="20"/>
    <n v="10"/>
    <x v="2"/>
  </r>
  <r>
    <x v="98"/>
    <x v="98"/>
    <x v="1"/>
    <x v="97"/>
    <x v="0"/>
    <x v="1"/>
    <x v="2"/>
    <x v="1"/>
    <s v="-"/>
    <s v="No"/>
    <n v="0"/>
    <n v="1"/>
    <x v="4"/>
  </r>
  <r>
    <x v="99"/>
    <x v="99"/>
    <x v="0"/>
    <x v="98"/>
    <x v="1"/>
    <x v="0"/>
    <x v="0"/>
    <x v="0"/>
    <n v="30"/>
    <s v="Yes"/>
    <n v="20"/>
    <n v="15"/>
    <x v="14"/>
  </r>
  <r>
    <x v="100"/>
    <x v="100"/>
    <x v="2"/>
    <x v="99"/>
    <x v="0"/>
    <x v="2"/>
    <x v="0"/>
    <x v="1"/>
    <s v="-"/>
    <s v="Yes"/>
    <n v="20"/>
    <n v="5"/>
    <x v="13"/>
  </r>
  <r>
    <x v="101"/>
    <x v="101"/>
    <x v="1"/>
    <x v="100"/>
    <x v="1"/>
    <x v="1"/>
    <x v="1"/>
    <x v="1"/>
    <s v="-"/>
    <s v="No"/>
    <n v="0"/>
    <n v="0"/>
    <x v="1"/>
  </r>
  <r>
    <x v="102"/>
    <x v="102"/>
    <x v="0"/>
    <x v="101"/>
    <x v="0"/>
    <x v="0"/>
    <x v="2"/>
    <x v="0"/>
    <n v="30"/>
    <s v="Yes"/>
    <n v="20"/>
    <n v="20"/>
    <x v="8"/>
  </r>
  <r>
    <x v="103"/>
    <x v="103"/>
    <x v="2"/>
    <x v="102"/>
    <x v="1"/>
    <x v="2"/>
    <x v="2"/>
    <x v="1"/>
    <s v="-"/>
    <s v="Yes"/>
    <n v="20"/>
    <n v="12"/>
    <x v="10"/>
  </r>
  <r>
    <x v="104"/>
    <x v="104"/>
    <x v="1"/>
    <x v="103"/>
    <x v="0"/>
    <x v="1"/>
    <x v="0"/>
    <x v="1"/>
    <s v="-"/>
    <s v="No"/>
    <n v="0"/>
    <n v="2"/>
    <x v="11"/>
  </r>
  <r>
    <x v="105"/>
    <x v="105"/>
    <x v="1"/>
    <x v="104"/>
    <x v="0"/>
    <x v="1"/>
    <x v="0"/>
    <x v="1"/>
    <s v="-"/>
    <s v="No"/>
    <n v="0"/>
    <n v="0"/>
    <x v="1"/>
  </r>
  <r>
    <x v="106"/>
    <x v="106"/>
    <x v="0"/>
    <x v="105"/>
    <x v="1"/>
    <x v="0"/>
    <x v="2"/>
    <x v="0"/>
    <n v="30"/>
    <s v="Yes"/>
    <n v="20"/>
    <n v="7"/>
    <x v="12"/>
  </r>
  <r>
    <x v="107"/>
    <x v="107"/>
    <x v="2"/>
    <x v="106"/>
    <x v="0"/>
    <x v="2"/>
    <x v="1"/>
    <x v="1"/>
    <s v="-"/>
    <s v="Yes"/>
    <n v="20"/>
    <n v="10"/>
    <x v="2"/>
  </r>
  <r>
    <x v="108"/>
    <x v="108"/>
    <x v="1"/>
    <x v="107"/>
    <x v="1"/>
    <x v="1"/>
    <x v="2"/>
    <x v="1"/>
    <s v="-"/>
    <s v="No"/>
    <n v="0"/>
    <n v="1"/>
    <x v="4"/>
  </r>
  <r>
    <x v="109"/>
    <x v="109"/>
    <x v="0"/>
    <x v="108"/>
    <x v="0"/>
    <x v="0"/>
    <x v="0"/>
    <x v="0"/>
    <n v="30"/>
    <s v="Yes"/>
    <n v="20"/>
    <n v="15"/>
    <x v="14"/>
  </r>
  <r>
    <x v="110"/>
    <x v="110"/>
    <x v="2"/>
    <x v="109"/>
    <x v="1"/>
    <x v="2"/>
    <x v="0"/>
    <x v="1"/>
    <s v="-"/>
    <s v="Yes"/>
    <n v="20"/>
    <n v="5"/>
    <x v="13"/>
  </r>
  <r>
    <x v="111"/>
    <x v="111"/>
    <x v="1"/>
    <x v="110"/>
    <x v="0"/>
    <x v="1"/>
    <x v="1"/>
    <x v="1"/>
    <s v="-"/>
    <s v="No"/>
    <n v="0"/>
    <n v="0"/>
    <x v="1"/>
  </r>
  <r>
    <x v="112"/>
    <x v="112"/>
    <x v="0"/>
    <x v="111"/>
    <x v="1"/>
    <x v="0"/>
    <x v="2"/>
    <x v="0"/>
    <n v="30"/>
    <s v="Yes"/>
    <n v="20"/>
    <n v="20"/>
    <x v="8"/>
  </r>
  <r>
    <x v="113"/>
    <x v="113"/>
    <x v="2"/>
    <x v="112"/>
    <x v="0"/>
    <x v="2"/>
    <x v="2"/>
    <x v="1"/>
    <s v="-"/>
    <s v="Yes"/>
    <n v="20"/>
    <n v="12"/>
    <x v="10"/>
  </r>
  <r>
    <x v="114"/>
    <x v="114"/>
    <x v="1"/>
    <x v="113"/>
    <x v="1"/>
    <x v="1"/>
    <x v="0"/>
    <x v="1"/>
    <s v="-"/>
    <s v="No"/>
    <n v="0"/>
    <n v="2"/>
    <x v="11"/>
  </r>
  <r>
    <x v="115"/>
    <x v="115"/>
    <x v="0"/>
    <x v="114"/>
    <x v="0"/>
    <x v="0"/>
    <x v="1"/>
    <x v="0"/>
    <n v="30"/>
    <s v="Yes"/>
    <n v="20"/>
    <n v="5"/>
    <x v="0"/>
  </r>
  <r>
    <x v="116"/>
    <x v="116"/>
    <x v="2"/>
    <x v="115"/>
    <x v="1"/>
    <x v="2"/>
    <x v="0"/>
    <x v="1"/>
    <s v="-"/>
    <s v="Yes"/>
    <n v="20"/>
    <n v="10"/>
    <x v="2"/>
  </r>
  <r>
    <x v="117"/>
    <x v="117"/>
    <x v="1"/>
    <x v="116"/>
    <x v="0"/>
    <x v="1"/>
    <x v="2"/>
    <x v="1"/>
    <s v="-"/>
    <s v="No"/>
    <n v="0"/>
    <n v="0"/>
    <x v="1"/>
  </r>
  <r>
    <x v="118"/>
    <x v="93"/>
    <x v="0"/>
    <x v="117"/>
    <x v="1"/>
    <x v="0"/>
    <x v="0"/>
    <x v="0"/>
    <n v="30"/>
    <s v="Yes"/>
    <n v="20"/>
    <n v="3"/>
    <x v="3"/>
  </r>
  <r>
    <x v="119"/>
    <x v="118"/>
    <x v="2"/>
    <x v="118"/>
    <x v="0"/>
    <x v="2"/>
    <x v="1"/>
    <x v="1"/>
    <s v="-"/>
    <s v="Yes"/>
    <n v="20"/>
    <n v="15"/>
    <x v="7"/>
  </r>
  <r>
    <x v="120"/>
    <x v="119"/>
    <x v="1"/>
    <x v="119"/>
    <x v="1"/>
    <x v="1"/>
    <x v="0"/>
    <x v="1"/>
    <s v="-"/>
    <s v="No"/>
    <n v="0"/>
    <n v="1"/>
    <x v="4"/>
  </r>
  <r>
    <x v="121"/>
    <x v="120"/>
    <x v="0"/>
    <x v="120"/>
    <x v="0"/>
    <x v="0"/>
    <x v="2"/>
    <x v="0"/>
    <n v="30"/>
    <s v="Yes"/>
    <n v="20"/>
    <n v="7"/>
    <x v="12"/>
  </r>
  <r>
    <x v="122"/>
    <x v="121"/>
    <x v="2"/>
    <x v="121"/>
    <x v="1"/>
    <x v="2"/>
    <x v="0"/>
    <x v="1"/>
    <s v="-"/>
    <s v="Yes"/>
    <n v="20"/>
    <n v="10"/>
    <x v="2"/>
  </r>
  <r>
    <x v="123"/>
    <x v="122"/>
    <x v="1"/>
    <x v="122"/>
    <x v="0"/>
    <x v="1"/>
    <x v="1"/>
    <x v="1"/>
    <s v="-"/>
    <s v="No"/>
    <n v="0"/>
    <n v="0"/>
    <x v="1"/>
  </r>
  <r>
    <x v="124"/>
    <x v="123"/>
    <x v="0"/>
    <x v="123"/>
    <x v="1"/>
    <x v="0"/>
    <x v="0"/>
    <x v="0"/>
    <n v="30"/>
    <s v="Yes"/>
    <n v="20"/>
    <n v="20"/>
    <x v="8"/>
  </r>
  <r>
    <x v="125"/>
    <x v="124"/>
    <x v="2"/>
    <x v="124"/>
    <x v="0"/>
    <x v="2"/>
    <x v="2"/>
    <x v="1"/>
    <s v="-"/>
    <s v="Yes"/>
    <n v="20"/>
    <n v="15"/>
    <x v="7"/>
  </r>
  <r>
    <x v="126"/>
    <x v="125"/>
    <x v="1"/>
    <x v="125"/>
    <x v="1"/>
    <x v="1"/>
    <x v="0"/>
    <x v="1"/>
    <s v="-"/>
    <s v="No"/>
    <n v="0"/>
    <n v="1"/>
    <x v="4"/>
  </r>
  <r>
    <x v="127"/>
    <x v="126"/>
    <x v="0"/>
    <x v="126"/>
    <x v="0"/>
    <x v="0"/>
    <x v="1"/>
    <x v="0"/>
    <n v="30"/>
    <s v="Yes"/>
    <n v="20"/>
    <n v="3"/>
    <x v="3"/>
  </r>
  <r>
    <x v="128"/>
    <x v="127"/>
    <x v="2"/>
    <x v="127"/>
    <x v="1"/>
    <x v="2"/>
    <x v="0"/>
    <x v="1"/>
    <s v="-"/>
    <s v="Yes"/>
    <n v="20"/>
    <n v="10"/>
    <x v="2"/>
  </r>
  <r>
    <x v="129"/>
    <x v="128"/>
    <x v="1"/>
    <x v="128"/>
    <x v="0"/>
    <x v="1"/>
    <x v="2"/>
    <x v="1"/>
    <s v="-"/>
    <s v="No"/>
    <n v="0"/>
    <n v="0"/>
    <x v="1"/>
  </r>
  <r>
    <x v="130"/>
    <x v="129"/>
    <x v="0"/>
    <x v="129"/>
    <x v="1"/>
    <x v="0"/>
    <x v="0"/>
    <x v="0"/>
    <n v="30"/>
    <s v="Yes"/>
    <n v="20"/>
    <n v="15"/>
    <x v="14"/>
  </r>
  <r>
    <x v="131"/>
    <x v="130"/>
    <x v="2"/>
    <x v="130"/>
    <x v="0"/>
    <x v="2"/>
    <x v="1"/>
    <x v="1"/>
    <s v="-"/>
    <s v="Yes"/>
    <n v="20"/>
    <n v="15"/>
    <x v="7"/>
  </r>
  <r>
    <x v="132"/>
    <x v="131"/>
    <x v="1"/>
    <x v="131"/>
    <x v="1"/>
    <x v="1"/>
    <x v="0"/>
    <x v="1"/>
    <s v="-"/>
    <s v="No"/>
    <n v="0"/>
    <n v="1"/>
    <x v="4"/>
  </r>
  <r>
    <x v="133"/>
    <x v="132"/>
    <x v="0"/>
    <x v="132"/>
    <x v="0"/>
    <x v="0"/>
    <x v="2"/>
    <x v="0"/>
    <n v="30"/>
    <s v="Yes"/>
    <n v="20"/>
    <n v="7"/>
    <x v="12"/>
  </r>
  <r>
    <x v="134"/>
    <x v="133"/>
    <x v="2"/>
    <x v="133"/>
    <x v="1"/>
    <x v="2"/>
    <x v="0"/>
    <x v="1"/>
    <s v="-"/>
    <s v="Yes"/>
    <n v="20"/>
    <n v="10"/>
    <x v="2"/>
  </r>
  <r>
    <x v="135"/>
    <x v="134"/>
    <x v="1"/>
    <x v="134"/>
    <x v="0"/>
    <x v="1"/>
    <x v="0"/>
    <x v="1"/>
    <s v="-"/>
    <s v="No"/>
    <n v="0"/>
    <n v="0"/>
    <x v="1"/>
  </r>
  <r>
    <x v="136"/>
    <x v="135"/>
    <x v="0"/>
    <x v="135"/>
    <x v="1"/>
    <x v="0"/>
    <x v="2"/>
    <x v="0"/>
    <n v="30"/>
    <s v="Yes"/>
    <n v="20"/>
    <n v="7"/>
    <x v="12"/>
  </r>
  <r>
    <x v="137"/>
    <x v="136"/>
    <x v="2"/>
    <x v="136"/>
    <x v="0"/>
    <x v="2"/>
    <x v="1"/>
    <x v="1"/>
    <s v="-"/>
    <s v="Yes"/>
    <n v="20"/>
    <n v="10"/>
    <x v="2"/>
  </r>
  <r>
    <x v="138"/>
    <x v="137"/>
    <x v="1"/>
    <x v="137"/>
    <x v="1"/>
    <x v="1"/>
    <x v="2"/>
    <x v="1"/>
    <s v="-"/>
    <s v="No"/>
    <n v="0"/>
    <n v="1"/>
    <x v="4"/>
  </r>
  <r>
    <x v="139"/>
    <x v="138"/>
    <x v="0"/>
    <x v="138"/>
    <x v="0"/>
    <x v="0"/>
    <x v="0"/>
    <x v="0"/>
    <n v="30"/>
    <s v="Yes"/>
    <n v="20"/>
    <n v="15"/>
    <x v="14"/>
  </r>
  <r>
    <x v="140"/>
    <x v="139"/>
    <x v="2"/>
    <x v="139"/>
    <x v="1"/>
    <x v="2"/>
    <x v="0"/>
    <x v="1"/>
    <s v="-"/>
    <s v="Yes"/>
    <n v="20"/>
    <n v="5"/>
    <x v="13"/>
  </r>
  <r>
    <x v="141"/>
    <x v="140"/>
    <x v="1"/>
    <x v="140"/>
    <x v="0"/>
    <x v="1"/>
    <x v="1"/>
    <x v="1"/>
    <s v="-"/>
    <s v="No"/>
    <n v="0"/>
    <n v="0"/>
    <x v="1"/>
  </r>
  <r>
    <x v="142"/>
    <x v="141"/>
    <x v="0"/>
    <x v="141"/>
    <x v="1"/>
    <x v="0"/>
    <x v="2"/>
    <x v="0"/>
    <n v="30"/>
    <s v="Yes"/>
    <n v="20"/>
    <n v="20"/>
    <x v="8"/>
  </r>
  <r>
    <x v="143"/>
    <x v="142"/>
    <x v="2"/>
    <x v="142"/>
    <x v="0"/>
    <x v="2"/>
    <x v="2"/>
    <x v="1"/>
    <s v="-"/>
    <s v="Yes"/>
    <n v="20"/>
    <n v="12"/>
    <x v="10"/>
  </r>
  <r>
    <x v="144"/>
    <x v="143"/>
    <x v="1"/>
    <x v="143"/>
    <x v="1"/>
    <x v="1"/>
    <x v="0"/>
    <x v="1"/>
    <s v="-"/>
    <s v="No"/>
    <n v="0"/>
    <n v="2"/>
    <x v="11"/>
  </r>
  <r>
    <x v="145"/>
    <x v="144"/>
    <x v="0"/>
    <x v="144"/>
    <x v="0"/>
    <x v="0"/>
    <x v="1"/>
    <x v="0"/>
    <n v="30"/>
    <s v="Yes"/>
    <n v="20"/>
    <n v="5"/>
    <x v="0"/>
  </r>
  <r>
    <x v="146"/>
    <x v="145"/>
    <x v="2"/>
    <x v="145"/>
    <x v="1"/>
    <x v="2"/>
    <x v="0"/>
    <x v="1"/>
    <s v="-"/>
    <s v="Yes"/>
    <n v="20"/>
    <n v="10"/>
    <x v="2"/>
  </r>
  <r>
    <x v="147"/>
    <x v="146"/>
    <x v="1"/>
    <x v="146"/>
    <x v="0"/>
    <x v="1"/>
    <x v="2"/>
    <x v="1"/>
    <s v="-"/>
    <s v="No"/>
    <n v="0"/>
    <n v="0"/>
    <x v="1"/>
  </r>
  <r>
    <x v="148"/>
    <x v="147"/>
    <x v="0"/>
    <x v="147"/>
    <x v="1"/>
    <x v="0"/>
    <x v="0"/>
    <x v="0"/>
    <n v="30"/>
    <s v="Yes"/>
    <n v="20"/>
    <n v="3"/>
    <x v="3"/>
  </r>
  <r>
    <x v="149"/>
    <x v="148"/>
    <x v="2"/>
    <x v="148"/>
    <x v="0"/>
    <x v="2"/>
    <x v="1"/>
    <x v="1"/>
    <s v="-"/>
    <s v="Yes"/>
    <n v="20"/>
    <n v="15"/>
    <x v="7"/>
  </r>
  <r>
    <x v="150"/>
    <x v="149"/>
    <x v="1"/>
    <x v="149"/>
    <x v="1"/>
    <x v="1"/>
    <x v="0"/>
    <x v="1"/>
    <s v="-"/>
    <s v="No"/>
    <n v="0"/>
    <n v="1"/>
    <x v="4"/>
  </r>
  <r>
    <x v="151"/>
    <x v="150"/>
    <x v="0"/>
    <x v="150"/>
    <x v="0"/>
    <x v="0"/>
    <x v="2"/>
    <x v="0"/>
    <n v="30"/>
    <s v="Yes"/>
    <n v="20"/>
    <n v="7"/>
    <x v="12"/>
  </r>
  <r>
    <x v="152"/>
    <x v="151"/>
    <x v="2"/>
    <x v="151"/>
    <x v="1"/>
    <x v="2"/>
    <x v="0"/>
    <x v="1"/>
    <s v="-"/>
    <s v="Yes"/>
    <n v="20"/>
    <n v="10"/>
    <x v="2"/>
  </r>
  <r>
    <x v="153"/>
    <x v="152"/>
    <x v="1"/>
    <x v="152"/>
    <x v="0"/>
    <x v="1"/>
    <x v="1"/>
    <x v="1"/>
    <s v="-"/>
    <s v="No"/>
    <n v="0"/>
    <n v="0"/>
    <x v="1"/>
  </r>
  <r>
    <x v="154"/>
    <x v="153"/>
    <x v="0"/>
    <x v="153"/>
    <x v="1"/>
    <x v="0"/>
    <x v="0"/>
    <x v="0"/>
    <n v="30"/>
    <s v="Yes"/>
    <n v="20"/>
    <n v="20"/>
    <x v="8"/>
  </r>
  <r>
    <x v="155"/>
    <x v="154"/>
    <x v="2"/>
    <x v="154"/>
    <x v="0"/>
    <x v="2"/>
    <x v="2"/>
    <x v="1"/>
    <s v="-"/>
    <s v="Yes"/>
    <n v="20"/>
    <n v="15"/>
    <x v="7"/>
  </r>
  <r>
    <x v="156"/>
    <x v="155"/>
    <x v="1"/>
    <x v="155"/>
    <x v="1"/>
    <x v="1"/>
    <x v="0"/>
    <x v="1"/>
    <s v="-"/>
    <s v="No"/>
    <n v="0"/>
    <n v="1"/>
    <x v="4"/>
  </r>
  <r>
    <x v="157"/>
    <x v="156"/>
    <x v="0"/>
    <x v="156"/>
    <x v="0"/>
    <x v="0"/>
    <x v="1"/>
    <x v="0"/>
    <n v="30"/>
    <s v="Yes"/>
    <n v="20"/>
    <n v="3"/>
    <x v="3"/>
  </r>
  <r>
    <x v="158"/>
    <x v="157"/>
    <x v="2"/>
    <x v="157"/>
    <x v="1"/>
    <x v="2"/>
    <x v="0"/>
    <x v="1"/>
    <s v="-"/>
    <s v="Yes"/>
    <n v="20"/>
    <n v="10"/>
    <x v="2"/>
  </r>
  <r>
    <x v="159"/>
    <x v="158"/>
    <x v="1"/>
    <x v="158"/>
    <x v="0"/>
    <x v="1"/>
    <x v="2"/>
    <x v="1"/>
    <s v="-"/>
    <s v="No"/>
    <n v="0"/>
    <n v="0"/>
    <x v="1"/>
  </r>
  <r>
    <x v="160"/>
    <x v="58"/>
    <x v="0"/>
    <x v="159"/>
    <x v="1"/>
    <x v="0"/>
    <x v="0"/>
    <x v="0"/>
    <n v="30"/>
    <s v="Yes"/>
    <n v="20"/>
    <n v="15"/>
    <x v="14"/>
  </r>
  <r>
    <x v="161"/>
    <x v="159"/>
    <x v="2"/>
    <x v="160"/>
    <x v="0"/>
    <x v="2"/>
    <x v="1"/>
    <x v="1"/>
    <s v="-"/>
    <s v="Yes"/>
    <n v="20"/>
    <n v="15"/>
    <x v="7"/>
  </r>
  <r>
    <x v="162"/>
    <x v="160"/>
    <x v="1"/>
    <x v="161"/>
    <x v="1"/>
    <x v="1"/>
    <x v="0"/>
    <x v="1"/>
    <s v="-"/>
    <s v="No"/>
    <n v="0"/>
    <n v="1"/>
    <x v="4"/>
  </r>
  <r>
    <x v="163"/>
    <x v="161"/>
    <x v="0"/>
    <x v="162"/>
    <x v="0"/>
    <x v="0"/>
    <x v="2"/>
    <x v="0"/>
    <n v="30"/>
    <s v="Yes"/>
    <n v="20"/>
    <n v="7"/>
    <x v="12"/>
  </r>
  <r>
    <x v="164"/>
    <x v="162"/>
    <x v="2"/>
    <x v="163"/>
    <x v="1"/>
    <x v="2"/>
    <x v="0"/>
    <x v="1"/>
    <s v="-"/>
    <s v="Yes"/>
    <n v="20"/>
    <n v="10"/>
    <x v="2"/>
  </r>
  <r>
    <x v="165"/>
    <x v="163"/>
    <x v="1"/>
    <x v="164"/>
    <x v="0"/>
    <x v="1"/>
    <x v="1"/>
    <x v="1"/>
    <s v="-"/>
    <s v="No"/>
    <n v="0"/>
    <n v="0"/>
    <x v="1"/>
  </r>
  <r>
    <x v="166"/>
    <x v="90"/>
    <x v="0"/>
    <x v="165"/>
    <x v="1"/>
    <x v="0"/>
    <x v="0"/>
    <x v="0"/>
    <n v="30"/>
    <s v="Yes"/>
    <n v="20"/>
    <n v="20"/>
    <x v="8"/>
  </r>
  <r>
    <x v="167"/>
    <x v="164"/>
    <x v="2"/>
    <x v="166"/>
    <x v="0"/>
    <x v="2"/>
    <x v="2"/>
    <x v="1"/>
    <s v="-"/>
    <s v="Yes"/>
    <n v="20"/>
    <n v="15"/>
    <x v="7"/>
  </r>
  <r>
    <x v="168"/>
    <x v="165"/>
    <x v="1"/>
    <x v="167"/>
    <x v="1"/>
    <x v="1"/>
    <x v="0"/>
    <x v="1"/>
    <s v="-"/>
    <s v="No"/>
    <n v="0"/>
    <n v="1"/>
    <x v="4"/>
  </r>
  <r>
    <x v="169"/>
    <x v="166"/>
    <x v="0"/>
    <x v="168"/>
    <x v="0"/>
    <x v="0"/>
    <x v="1"/>
    <x v="0"/>
    <n v="30"/>
    <s v="Yes"/>
    <n v="20"/>
    <n v="5"/>
    <x v="0"/>
  </r>
  <r>
    <x v="170"/>
    <x v="167"/>
    <x v="2"/>
    <x v="169"/>
    <x v="1"/>
    <x v="2"/>
    <x v="0"/>
    <x v="1"/>
    <s v="-"/>
    <s v="Yes"/>
    <n v="20"/>
    <n v="10"/>
    <x v="2"/>
  </r>
  <r>
    <x v="171"/>
    <x v="168"/>
    <x v="1"/>
    <x v="170"/>
    <x v="0"/>
    <x v="1"/>
    <x v="2"/>
    <x v="1"/>
    <s v="-"/>
    <s v="No"/>
    <n v="0"/>
    <n v="0"/>
    <x v="1"/>
  </r>
  <r>
    <x v="172"/>
    <x v="169"/>
    <x v="0"/>
    <x v="171"/>
    <x v="1"/>
    <x v="0"/>
    <x v="0"/>
    <x v="0"/>
    <n v="30"/>
    <s v="Yes"/>
    <n v="20"/>
    <n v="3"/>
    <x v="3"/>
  </r>
  <r>
    <x v="173"/>
    <x v="170"/>
    <x v="2"/>
    <x v="172"/>
    <x v="0"/>
    <x v="2"/>
    <x v="1"/>
    <x v="1"/>
    <s v="-"/>
    <s v="Yes"/>
    <n v="20"/>
    <n v="15"/>
    <x v="7"/>
  </r>
  <r>
    <x v="174"/>
    <x v="171"/>
    <x v="1"/>
    <x v="173"/>
    <x v="1"/>
    <x v="1"/>
    <x v="0"/>
    <x v="1"/>
    <s v="-"/>
    <s v="No"/>
    <n v="0"/>
    <n v="1"/>
    <x v="4"/>
  </r>
  <r>
    <x v="175"/>
    <x v="172"/>
    <x v="1"/>
    <x v="174"/>
    <x v="0"/>
    <x v="1"/>
    <x v="0"/>
    <x v="1"/>
    <s v="-"/>
    <s v="No"/>
    <n v="0"/>
    <n v="0"/>
    <x v="1"/>
  </r>
  <r>
    <x v="176"/>
    <x v="173"/>
    <x v="0"/>
    <x v="175"/>
    <x v="1"/>
    <x v="0"/>
    <x v="2"/>
    <x v="0"/>
    <n v="30"/>
    <s v="Yes"/>
    <n v="20"/>
    <n v="7"/>
    <x v="12"/>
  </r>
  <r>
    <x v="177"/>
    <x v="174"/>
    <x v="2"/>
    <x v="176"/>
    <x v="0"/>
    <x v="2"/>
    <x v="1"/>
    <x v="1"/>
    <s v="-"/>
    <s v="Yes"/>
    <n v="20"/>
    <n v="10"/>
    <x v="2"/>
  </r>
  <r>
    <x v="178"/>
    <x v="175"/>
    <x v="1"/>
    <x v="177"/>
    <x v="1"/>
    <x v="1"/>
    <x v="2"/>
    <x v="1"/>
    <s v="-"/>
    <s v="No"/>
    <n v="0"/>
    <n v="1"/>
    <x v="4"/>
  </r>
  <r>
    <x v="179"/>
    <x v="176"/>
    <x v="0"/>
    <x v="178"/>
    <x v="0"/>
    <x v="0"/>
    <x v="0"/>
    <x v="0"/>
    <n v="30"/>
    <s v="Yes"/>
    <n v="20"/>
    <n v="15"/>
    <x v="14"/>
  </r>
  <r>
    <x v="180"/>
    <x v="177"/>
    <x v="2"/>
    <x v="179"/>
    <x v="1"/>
    <x v="2"/>
    <x v="0"/>
    <x v="1"/>
    <s v="-"/>
    <s v="Yes"/>
    <n v="20"/>
    <n v="5"/>
    <x v="13"/>
  </r>
  <r>
    <x v="181"/>
    <x v="178"/>
    <x v="1"/>
    <x v="180"/>
    <x v="0"/>
    <x v="1"/>
    <x v="1"/>
    <x v="1"/>
    <s v="-"/>
    <s v="No"/>
    <n v="0"/>
    <n v="0"/>
    <x v="1"/>
  </r>
  <r>
    <x v="182"/>
    <x v="179"/>
    <x v="0"/>
    <x v="181"/>
    <x v="1"/>
    <x v="0"/>
    <x v="2"/>
    <x v="0"/>
    <n v="30"/>
    <s v="Yes"/>
    <n v="20"/>
    <n v="20"/>
    <x v="8"/>
  </r>
  <r>
    <x v="183"/>
    <x v="180"/>
    <x v="2"/>
    <x v="182"/>
    <x v="0"/>
    <x v="2"/>
    <x v="2"/>
    <x v="1"/>
    <s v="-"/>
    <s v="Yes"/>
    <n v="20"/>
    <n v="12"/>
    <x v="10"/>
  </r>
  <r>
    <x v="184"/>
    <x v="181"/>
    <x v="1"/>
    <x v="183"/>
    <x v="1"/>
    <x v="1"/>
    <x v="0"/>
    <x v="1"/>
    <s v="-"/>
    <s v="No"/>
    <n v="0"/>
    <n v="2"/>
    <x v="11"/>
  </r>
  <r>
    <x v="185"/>
    <x v="182"/>
    <x v="0"/>
    <x v="184"/>
    <x v="0"/>
    <x v="0"/>
    <x v="1"/>
    <x v="0"/>
    <n v="30"/>
    <s v="Yes"/>
    <n v="20"/>
    <n v="5"/>
    <x v="0"/>
  </r>
  <r>
    <x v="186"/>
    <x v="183"/>
    <x v="2"/>
    <x v="185"/>
    <x v="1"/>
    <x v="2"/>
    <x v="0"/>
    <x v="1"/>
    <s v="-"/>
    <s v="Yes"/>
    <n v="20"/>
    <n v="10"/>
    <x v="2"/>
  </r>
  <r>
    <x v="187"/>
    <x v="184"/>
    <x v="1"/>
    <x v="186"/>
    <x v="0"/>
    <x v="1"/>
    <x v="2"/>
    <x v="1"/>
    <s v="-"/>
    <s v="No"/>
    <n v="0"/>
    <n v="0"/>
    <x v="1"/>
  </r>
  <r>
    <x v="188"/>
    <x v="185"/>
    <x v="0"/>
    <x v="187"/>
    <x v="1"/>
    <x v="0"/>
    <x v="0"/>
    <x v="0"/>
    <n v="30"/>
    <s v="Yes"/>
    <n v="20"/>
    <n v="3"/>
    <x v="3"/>
  </r>
  <r>
    <x v="189"/>
    <x v="186"/>
    <x v="2"/>
    <x v="188"/>
    <x v="0"/>
    <x v="2"/>
    <x v="1"/>
    <x v="1"/>
    <s v="-"/>
    <s v="Yes"/>
    <n v="20"/>
    <n v="15"/>
    <x v="7"/>
  </r>
  <r>
    <x v="190"/>
    <x v="15"/>
    <x v="1"/>
    <x v="189"/>
    <x v="1"/>
    <x v="1"/>
    <x v="0"/>
    <x v="1"/>
    <s v="-"/>
    <s v="No"/>
    <n v="0"/>
    <n v="1"/>
    <x v="4"/>
  </r>
  <r>
    <x v="191"/>
    <x v="187"/>
    <x v="0"/>
    <x v="190"/>
    <x v="0"/>
    <x v="0"/>
    <x v="2"/>
    <x v="0"/>
    <n v="30"/>
    <s v="Yes"/>
    <n v="20"/>
    <n v="7"/>
    <x v="12"/>
  </r>
  <r>
    <x v="192"/>
    <x v="188"/>
    <x v="2"/>
    <x v="191"/>
    <x v="1"/>
    <x v="2"/>
    <x v="0"/>
    <x v="1"/>
    <s v="-"/>
    <s v="Yes"/>
    <n v="20"/>
    <n v="10"/>
    <x v="2"/>
  </r>
  <r>
    <x v="193"/>
    <x v="14"/>
    <x v="1"/>
    <x v="192"/>
    <x v="0"/>
    <x v="1"/>
    <x v="1"/>
    <x v="1"/>
    <s v="-"/>
    <s v="No"/>
    <n v="0"/>
    <n v="0"/>
    <x v="1"/>
  </r>
  <r>
    <x v="194"/>
    <x v="189"/>
    <x v="0"/>
    <x v="193"/>
    <x v="1"/>
    <x v="0"/>
    <x v="0"/>
    <x v="0"/>
    <n v="30"/>
    <s v="Yes"/>
    <n v="20"/>
    <n v="20"/>
    <x v="8"/>
  </r>
  <r>
    <x v="195"/>
    <x v="167"/>
    <x v="2"/>
    <x v="194"/>
    <x v="0"/>
    <x v="2"/>
    <x v="2"/>
    <x v="1"/>
    <s v="-"/>
    <s v="Yes"/>
    <n v="20"/>
    <n v="15"/>
    <x v="7"/>
  </r>
  <r>
    <x v="196"/>
    <x v="190"/>
    <x v="1"/>
    <x v="195"/>
    <x v="1"/>
    <x v="1"/>
    <x v="0"/>
    <x v="1"/>
    <s v="-"/>
    <s v="No"/>
    <n v="0"/>
    <n v="1"/>
    <x v="4"/>
  </r>
  <r>
    <x v="197"/>
    <x v="191"/>
    <x v="0"/>
    <x v="196"/>
    <x v="0"/>
    <x v="0"/>
    <x v="1"/>
    <x v="0"/>
    <n v="30"/>
    <s v="Yes"/>
    <n v="20"/>
    <n v="3"/>
    <x v="3"/>
  </r>
  <r>
    <x v="198"/>
    <x v="192"/>
    <x v="2"/>
    <x v="197"/>
    <x v="1"/>
    <x v="2"/>
    <x v="0"/>
    <x v="1"/>
    <s v="-"/>
    <s v="Yes"/>
    <n v="20"/>
    <n v="10"/>
    <x v="2"/>
  </r>
  <r>
    <x v="199"/>
    <x v="193"/>
    <x v="1"/>
    <x v="198"/>
    <x v="0"/>
    <x v="1"/>
    <x v="2"/>
    <x v="1"/>
    <s v="-"/>
    <s v="No"/>
    <n v="0"/>
    <n v="0"/>
    <x v="1"/>
  </r>
  <r>
    <x v="200"/>
    <x v="194"/>
    <x v="0"/>
    <x v="199"/>
    <x v="1"/>
    <x v="0"/>
    <x v="0"/>
    <x v="0"/>
    <n v="30"/>
    <s v="Yes"/>
    <n v="20"/>
    <n v="15"/>
    <x v="14"/>
  </r>
  <r>
    <x v="201"/>
    <x v="195"/>
    <x v="2"/>
    <x v="200"/>
    <x v="0"/>
    <x v="2"/>
    <x v="1"/>
    <x v="1"/>
    <s v="-"/>
    <s v="Yes"/>
    <n v="20"/>
    <n v="15"/>
    <x v="7"/>
  </r>
  <r>
    <x v="202"/>
    <x v="196"/>
    <x v="1"/>
    <x v="201"/>
    <x v="1"/>
    <x v="1"/>
    <x v="0"/>
    <x v="1"/>
    <s v="-"/>
    <s v="No"/>
    <n v="0"/>
    <n v="1"/>
    <x v="4"/>
  </r>
  <r>
    <x v="203"/>
    <x v="197"/>
    <x v="0"/>
    <x v="202"/>
    <x v="0"/>
    <x v="0"/>
    <x v="2"/>
    <x v="0"/>
    <n v="30"/>
    <s v="Yes"/>
    <n v="20"/>
    <n v="7"/>
    <x v="12"/>
  </r>
  <r>
    <x v="204"/>
    <x v="198"/>
    <x v="2"/>
    <x v="203"/>
    <x v="1"/>
    <x v="2"/>
    <x v="0"/>
    <x v="1"/>
    <s v="-"/>
    <s v="Yes"/>
    <n v="20"/>
    <n v="10"/>
    <x v="2"/>
  </r>
  <r>
    <x v="205"/>
    <x v="199"/>
    <x v="1"/>
    <x v="204"/>
    <x v="0"/>
    <x v="1"/>
    <x v="0"/>
    <x v="1"/>
    <s v="-"/>
    <s v="No"/>
    <n v="0"/>
    <n v="0"/>
    <x v="1"/>
  </r>
  <r>
    <x v="206"/>
    <x v="200"/>
    <x v="0"/>
    <x v="205"/>
    <x v="1"/>
    <x v="0"/>
    <x v="2"/>
    <x v="0"/>
    <n v="30"/>
    <s v="Yes"/>
    <n v="20"/>
    <n v="7"/>
    <x v="12"/>
  </r>
  <r>
    <x v="207"/>
    <x v="201"/>
    <x v="2"/>
    <x v="206"/>
    <x v="0"/>
    <x v="2"/>
    <x v="1"/>
    <x v="1"/>
    <s v="-"/>
    <s v="Yes"/>
    <n v="20"/>
    <n v="10"/>
    <x v="2"/>
  </r>
  <r>
    <x v="208"/>
    <x v="202"/>
    <x v="1"/>
    <x v="207"/>
    <x v="1"/>
    <x v="1"/>
    <x v="2"/>
    <x v="1"/>
    <s v="-"/>
    <s v="No"/>
    <n v="0"/>
    <n v="1"/>
    <x v="4"/>
  </r>
  <r>
    <x v="209"/>
    <x v="203"/>
    <x v="0"/>
    <x v="208"/>
    <x v="0"/>
    <x v="0"/>
    <x v="0"/>
    <x v="0"/>
    <n v="30"/>
    <s v="Yes"/>
    <n v="20"/>
    <n v="15"/>
    <x v="14"/>
  </r>
  <r>
    <x v="210"/>
    <x v="204"/>
    <x v="2"/>
    <x v="209"/>
    <x v="1"/>
    <x v="2"/>
    <x v="0"/>
    <x v="1"/>
    <s v="-"/>
    <s v="Yes"/>
    <n v="20"/>
    <n v="5"/>
    <x v="13"/>
  </r>
  <r>
    <x v="211"/>
    <x v="205"/>
    <x v="1"/>
    <x v="210"/>
    <x v="0"/>
    <x v="1"/>
    <x v="1"/>
    <x v="1"/>
    <s v="-"/>
    <s v="No"/>
    <n v="0"/>
    <n v="0"/>
    <x v="1"/>
  </r>
  <r>
    <x v="212"/>
    <x v="206"/>
    <x v="0"/>
    <x v="211"/>
    <x v="1"/>
    <x v="0"/>
    <x v="2"/>
    <x v="0"/>
    <n v="30"/>
    <s v="Yes"/>
    <n v="20"/>
    <n v="20"/>
    <x v="8"/>
  </r>
  <r>
    <x v="213"/>
    <x v="207"/>
    <x v="2"/>
    <x v="212"/>
    <x v="0"/>
    <x v="2"/>
    <x v="2"/>
    <x v="1"/>
    <s v="-"/>
    <s v="Yes"/>
    <n v="20"/>
    <n v="12"/>
    <x v="10"/>
  </r>
  <r>
    <x v="214"/>
    <x v="37"/>
    <x v="1"/>
    <x v="213"/>
    <x v="1"/>
    <x v="1"/>
    <x v="0"/>
    <x v="1"/>
    <s v="-"/>
    <s v="No"/>
    <n v="0"/>
    <n v="2"/>
    <x v="11"/>
  </r>
  <r>
    <x v="215"/>
    <x v="208"/>
    <x v="0"/>
    <x v="214"/>
    <x v="0"/>
    <x v="0"/>
    <x v="1"/>
    <x v="0"/>
    <n v="30"/>
    <s v="Yes"/>
    <n v="20"/>
    <n v="5"/>
    <x v="0"/>
  </r>
  <r>
    <x v="216"/>
    <x v="209"/>
    <x v="2"/>
    <x v="215"/>
    <x v="1"/>
    <x v="2"/>
    <x v="0"/>
    <x v="1"/>
    <s v="-"/>
    <s v="Yes"/>
    <n v="20"/>
    <n v="10"/>
    <x v="2"/>
  </r>
  <r>
    <x v="217"/>
    <x v="210"/>
    <x v="1"/>
    <x v="216"/>
    <x v="0"/>
    <x v="1"/>
    <x v="2"/>
    <x v="1"/>
    <s v="-"/>
    <s v="No"/>
    <n v="0"/>
    <n v="0"/>
    <x v="1"/>
  </r>
  <r>
    <x v="218"/>
    <x v="211"/>
    <x v="0"/>
    <x v="217"/>
    <x v="1"/>
    <x v="0"/>
    <x v="0"/>
    <x v="0"/>
    <n v="30"/>
    <s v="Yes"/>
    <n v="20"/>
    <n v="3"/>
    <x v="3"/>
  </r>
  <r>
    <x v="219"/>
    <x v="212"/>
    <x v="2"/>
    <x v="218"/>
    <x v="0"/>
    <x v="2"/>
    <x v="1"/>
    <x v="1"/>
    <s v="-"/>
    <s v="Yes"/>
    <n v="20"/>
    <n v="15"/>
    <x v="7"/>
  </r>
  <r>
    <x v="220"/>
    <x v="213"/>
    <x v="1"/>
    <x v="219"/>
    <x v="1"/>
    <x v="1"/>
    <x v="0"/>
    <x v="1"/>
    <s v="-"/>
    <s v="No"/>
    <n v="0"/>
    <n v="1"/>
    <x v="4"/>
  </r>
  <r>
    <x v="221"/>
    <x v="191"/>
    <x v="0"/>
    <x v="220"/>
    <x v="0"/>
    <x v="0"/>
    <x v="2"/>
    <x v="0"/>
    <n v="30"/>
    <s v="Yes"/>
    <n v="20"/>
    <n v="7"/>
    <x v="12"/>
  </r>
  <r>
    <x v="222"/>
    <x v="45"/>
    <x v="2"/>
    <x v="221"/>
    <x v="1"/>
    <x v="2"/>
    <x v="0"/>
    <x v="1"/>
    <s v="-"/>
    <s v="Yes"/>
    <n v="20"/>
    <n v="10"/>
    <x v="2"/>
  </r>
  <r>
    <x v="223"/>
    <x v="214"/>
    <x v="1"/>
    <x v="222"/>
    <x v="0"/>
    <x v="1"/>
    <x v="1"/>
    <x v="1"/>
    <s v="-"/>
    <s v="No"/>
    <n v="0"/>
    <n v="0"/>
    <x v="1"/>
  </r>
  <r>
    <x v="224"/>
    <x v="215"/>
    <x v="0"/>
    <x v="223"/>
    <x v="1"/>
    <x v="0"/>
    <x v="0"/>
    <x v="0"/>
    <n v="30"/>
    <s v="Yes"/>
    <n v="20"/>
    <n v="20"/>
    <x v="8"/>
  </r>
  <r>
    <x v="225"/>
    <x v="216"/>
    <x v="2"/>
    <x v="224"/>
    <x v="0"/>
    <x v="2"/>
    <x v="2"/>
    <x v="1"/>
    <s v="-"/>
    <s v="Yes"/>
    <n v="20"/>
    <n v="15"/>
    <x v="7"/>
  </r>
  <r>
    <x v="226"/>
    <x v="217"/>
    <x v="1"/>
    <x v="225"/>
    <x v="1"/>
    <x v="1"/>
    <x v="0"/>
    <x v="1"/>
    <s v="-"/>
    <s v="No"/>
    <n v="0"/>
    <n v="1"/>
    <x v="4"/>
  </r>
  <r>
    <x v="227"/>
    <x v="218"/>
    <x v="0"/>
    <x v="226"/>
    <x v="0"/>
    <x v="0"/>
    <x v="1"/>
    <x v="0"/>
    <n v="30"/>
    <s v="Yes"/>
    <n v="20"/>
    <n v="3"/>
    <x v="3"/>
  </r>
  <r>
    <x v="228"/>
    <x v="219"/>
    <x v="2"/>
    <x v="227"/>
    <x v="1"/>
    <x v="2"/>
    <x v="0"/>
    <x v="1"/>
    <s v="-"/>
    <s v="Yes"/>
    <n v="20"/>
    <n v="10"/>
    <x v="2"/>
  </r>
  <r>
    <x v="229"/>
    <x v="127"/>
    <x v="1"/>
    <x v="228"/>
    <x v="0"/>
    <x v="1"/>
    <x v="2"/>
    <x v="1"/>
    <s v="-"/>
    <s v="No"/>
    <n v="0"/>
    <n v="0"/>
    <x v="1"/>
  </r>
  <r>
    <x v="230"/>
    <x v="220"/>
    <x v="0"/>
    <x v="229"/>
    <x v="1"/>
    <x v="0"/>
    <x v="0"/>
    <x v="0"/>
    <n v="30"/>
    <s v="Yes"/>
    <n v="20"/>
    <n v="15"/>
    <x v="14"/>
  </r>
  <r>
    <x v="231"/>
    <x v="221"/>
    <x v="2"/>
    <x v="230"/>
    <x v="0"/>
    <x v="2"/>
    <x v="1"/>
    <x v="1"/>
    <s v="-"/>
    <s v="Yes"/>
    <n v="20"/>
    <n v="15"/>
    <x v="7"/>
  </r>
  <r>
    <x v="232"/>
    <x v="222"/>
    <x v="1"/>
    <x v="231"/>
    <x v="1"/>
    <x v="1"/>
    <x v="0"/>
    <x v="1"/>
    <s v="-"/>
    <s v="No"/>
    <n v="0"/>
    <n v="1"/>
    <x v="4"/>
  </r>
  <r>
    <x v="233"/>
    <x v="223"/>
    <x v="0"/>
    <x v="232"/>
    <x v="0"/>
    <x v="0"/>
    <x v="2"/>
    <x v="0"/>
    <n v="30"/>
    <s v="Yes"/>
    <n v="20"/>
    <n v="7"/>
    <x v="12"/>
  </r>
  <r>
    <x v="234"/>
    <x v="224"/>
    <x v="2"/>
    <x v="233"/>
    <x v="1"/>
    <x v="2"/>
    <x v="0"/>
    <x v="1"/>
    <s v="-"/>
    <s v="Yes"/>
    <n v="20"/>
    <n v="10"/>
    <x v="2"/>
  </r>
  <r>
    <x v="235"/>
    <x v="225"/>
    <x v="1"/>
    <x v="234"/>
    <x v="0"/>
    <x v="1"/>
    <x v="1"/>
    <x v="1"/>
    <s v="-"/>
    <s v="No"/>
    <n v="0"/>
    <n v="0"/>
    <x v="1"/>
  </r>
  <r>
    <x v="236"/>
    <x v="226"/>
    <x v="0"/>
    <x v="235"/>
    <x v="1"/>
    <x v="0"/>
    <x v="0"/>
    <x v="0"/>
    <n v="30"/>
    <s v="Yes"/>
    <n v="20"/>
    <n v="15"/>
    <x v="14"/>
  </r>
  <r>
    <x v="237"/>
    <x v="227"/>
    <x v="2"/>
    <x v="236"/>
    <x v="0"/>
    <x v="2"/>
    <x v="2"/>
    <x v="1"/>
    <s v="-"/>
    <s v="Yes"/>
    <n v="20"/>
    <n v="12"/>
    <x v="10"/>
  </r>
  <r>
    <x v="238"/>
    <x v="228"/>
    <x v="1"/>
    <x v="237"/>
    <x v="1"/>
    <x v="1"/>
    <x v="0"/>
    <x v="1"/>
    <s v="-"/>
    <s v="No"/>
    <n v="0"/>
    <n v="2"/>
    <x v="11"/>
  </r>
  <r>
    <x v="239"/>
    <x v="229"/>
    <x v="0"/>
    <x v="238"/>
    <x v="0"/>
    <x v="0"/>
    <x v="1"/>
    <x v="0"/>
    <n v="30"/>
    <s v="Yes"/>
    <n v="20"/>
    <n v="5"/>
    <x v="0"/>
  </r>
  <r>
    <x v="240"/>
    <x v="230"/>
    <x v="2"/>
    <x v="239"/>
    <x v="1"/>
    <x v="2"/>
    <x v="0"/>
    <x v="1"/>
    <s v="-"/>
    <s v="Yes"/>
    <n v="20"/>
    <n v="10"/>
    <x v="2"/>
  </r>
  <r>
    <x v="241"/>
    <x v="231"/>
    <x v="1"/>
    <x v="240"/>
    <x v="0"/>
    <x v="1"/>
    <x v="2"/>
    <x v="1"/>
    <s v="-"/>
    <s v="No"/>
    <n v="0"/>
    <n v="0"/>
    <x v="1"/>
  </r>
  <r>
    <x v="242"/>
    <x v="140"/>
    <x v="0"/>
    <x v="241"/>
    <x v="1"/>
    <x v="0"/>
    <x v="0"/>
    <x v="0"/>
    <n v="30"/>
    <s v="Yes"/>
    <n v="20"/>
    <n v="3"/>
    <x v="3"/>
  </r>
  <r>
    <x v="243"/>
    <x v="232"/>
    <x v="2"/>
    <x v="242"/>
    <x v="0"/>
    <x v="2"/>
    <x v="1"/>
    <x v="1"/>
    <s v="-"/>
    <s v="Yes"/>
    <n v="20"/>
    <n v="15"/>
    <x v="7"/>
  </r>
  <r>
    <x v="244"/>
    <x v="233"/>
    <x v="1"/>
    <x v="243"/>
    <x v="1"/>
    <x v="1"/>
    <x v="0"/>
    <x v="1"/>
    <s v="-"/>
    <s v="No"/>
    <n v="0"/>
    <n v="1"/>
    <x v="4"/>
  </r>
  <r>
    <x v="245"/>
    <x v="234"/>
    <x v="0"/>
    <x v="244"/>
    <x v="0"/>
    <x v="0"/>
    <x v="2"/>
    <x v="0"/>
    <n v="30"/>
    <s v="Yes"/>
    <n v="20"/>
    <n v="7"/>
    <x v="12"/>
  </r>
  <r>
    <x v="246"/>
    <x v="235"/>
    <x v="2"/>
    <x v="245"/>
    <x v="1"/>
    <x v="2"/>
    <x v="0"/>
    <x v="1"/>
    <s v="-"/>
    <s v="Yes"/>
    <n v="20"/>
    <n v="10"/>
    <x v="2"/>
  </r>
  <r>
    <x v="247"/>
    <x v="236"/>
    <x v="1"/>
    <x v="246"/>
    <x v="0"/>
    <x v="1"/>
    <x v="1"/>
    <x v="1"/>
    <s v="-"/>
    <s v="No"/>
    <n v="0"/>
    <n v="0"/>
    <x v="1"/>
  </r>
  <r>
    <x v="248"/>
    <x v="237"/>
    <x v="0"/>
    <x v="247"/>
    <x v="1"/>
    <x v="0"/>
    <x v="0"/>
    <x v="0"/>
    <n v="30"/>
    <s v="Yes"/>
    <n v="20"/>
    <n v="20"/>
    <x v="8"/>
  </r>
  <r>
    <x v="249"/>
    <x v="238"/>
    <x v="2"/>
    <x v="248"/>
    <x v="0"/>
    <x v="2"/>
    <x v="2"/>
    <x v="1"/>
    <s v="-"/>
    <s v="Yes"/>
    <n v="20"/>
    <n v="15"/>
    <x v="7"/>
  </r>
  <r>
    <x v="250"/>
    <x v="239"/>
    <x v="1"/>
    <x v="249"/>
    <x v="1"/>
    <x v="1"/>
    <x v="0"/>
    <x v="1"/>
    <s v="-"/>
    <s v="No"/>
    <n v="0"/>
    <n v="1"/>
    <x v="4"/>
  </r>
  <r>
    <x v="251"/>
    <x v="240"/>
    <x v="0"/>
    <x v="250"/>
    <x v="0"/>
    <x v="0"/>
    <x v="1"/>
    <x v="0"/>
    <n v="30"/>
    <s v="Yes"/>
    <n v="20"/>
    <n v="3"/>
    <x v="3"/>
  </r>
  <r>
    <x v="252"/>
    <x v="241"/>
    <x v="2"/>
    <x v="251"/>
    <x v="1"/>
    <x v="2"/>
    <x v="0"/>
    <x v="1"/>
    <s v="-"/>
    <s v="Yes"/>
    <n v="20"/>
    <n v="10"/>
    <x v="2"/>
  </r>
  <r>
    <x v="253"/>
    <x v="242"/>
    <x v="1"/>
    <x v="252"/>
    <x v="0"/>
    <x v="1"/>
    <x v="2"/>
    <x v="1"/>
    <s v="-"/>
    <s v="No"/>
    <n v="0"/>
    <n v="0"/>
    <x v="1"/>
  </r>
  <r>
    <x v="254"/>
    <x v="243"/>
    <x v="0"/>
    <x v="253"/>
    <x v="1"/>
    <x v="0"/>
    <x v="0"/>
    <x v="0"/>
    <n v="30"/>
    <s v="Yes"/>
    <n v="20"/>
    <n v="15"/>
    <x v="14"/>
  </r>
  <r>
    <x v="255"/>
    <x v="244"/>
    <x v="1"/>
    <x v="254"/>
    <x v="0"/>
    <x v="1"/>
    <x v="0"/>
    <x v="1"/>
    <s v="-"/>
    <s v="No"/>
    <n v="0"/>
    <n v="0"/>
    <x v="1"/>
  </r>
  <r>
    <x v="256"/>
    <x v="245"/>
    <x v="0"/>
    <x v="255"/>
    <x v="1"/>
    <x v="0"/>
    <x v="2"/>
    <x v="0"/>
    <n v="30"/>
    <s v="Yes"/>
    <n v="20"/>
    <n v="7"/>
    <x v="12"/>
  </r>
  <r>
    <x v="257"/>
    <x v="246"/>
    <x v="2"/>
    <x v="256"/>
    <x v="0"/>
    <x v="2"/>
    <x v="1"/>
    <x v="1"/>
    <s v="-"/>
    <s v="Yes"/>
    <n v="20"/>
    <n v="10"/>
    <x v="2"/>
  </r>
  <r>
    <x v="258"/>
    <x v="247"/>
    <x v="1"/>
    <x v="257"/>
    <x v="1"/>
    <x v="1"/>
    <x v="2"/>
    <x v="1"/>
    <s v="-"/>
    <s v="No"/>
    <n v="0"/>
    <n v="1"/>
    <x v="4"/>
  </r>
  <r>
    <x v="259"/>
    <x v="248"/>
    <x v="0"/>
    <x v="258"/>
    <x v="0"/>
    <x v="0"/>
    <x v="0"/>
    <x v="0"/>
    <n v="30"/>
    <s v="Yes"/>
    <n v="20"/>
    <n v="15"/>
    <x v="14"/>
  </r>
  <r>
    <x v="260"/>
    <x v="249"/>
    <x v="2"/>
    <x v="259"/>
    <x v="1"/>
    <x v="2"/>
    <x v="0"/>
    <x v="1"/>
    <s v="-"/>
    <s v="Yes"/>
    <n v="20"/>
    <n v="5"/>
    <x v="13"/>
  </r>
  <r>
    <x v="261"/>
    <x v="250"/>
    <x v="1"/>
    <x v="260"/>
    <x v="0"/>
    <x v="1"/>
    <x v="1"/>
    <x v="1"/>
    <s v="-"/>
    <s v="No"/>
    <n v="0"/>
    <n v="0"/>
    <x v="1"/>
  </r>
  <r>
    <x v="262"/>
    <x v="251"/>
    <x v="0"/>
    <x v="261"/>
    <x v="1"/>
    <x v="0"/>
    <x v="2"/>
    <x v="0"/>
    <n v="30"/>
    <s v="Yes"/>
    <n v="20"/>
    <n v="20"/>
    <x v="8"/>
  </r>
  <r>
    <x v="263"/>
    <x v="252"/>
    <x v="2"/>
    <x v="262"/>
    <x v="0"/>
    <x v="2"/>
    <x v="2"/>
    <x v="1"/>
    <s v="-"/>
    <s v="Yes"/>
    <n v="20"/>
    <n v="12"/>
    <x v="10"/>
  </r>
  <r>
    <x v="264"/>
    <x v="253"/>
    <x v="1"/>
    <x v="263"/>
    <x v="1"/>
    <x v="1"/>
    <x v="0"/>
    <x v="1"/>
    <s v="-"/>
    <s v="No"/>
    <n v="0"/>
    <n v="2"/>
    <x v="11"/>
  </r>
  <r>
    <x v="265"/>
    <x v="254"/>
    <x v="0"/>
    <x v="264"/>
    <x v="0"/>
    <x v="0"/>
    <x v="1"/>
    <x v="0"/>
    <n v="30"/>
    <s v="Yes"/>
    <n v="20"/>
    <n v="5"/>
    <x v="0"/>
  </r>
  <r>
    <x v="266"/>
    <x v="255"/>
    <x v="2"/>
    <x v="265"/>
    <x v="1"/>
    <x v="2"/>
    <x v="0"/>
    <x v="1"/>
    <s v="-"/>
    <s v="Yes"/>
    <n v="20"/>
    <n v="10"/>
    <x v="2"/>
  </r>
  <r>
    <x v="267"/>
    <x v="256"/>
    <x v="1"/>
    <x v="266"/>
    <x v="0"/>
    <x v="1"/>
    <x v="2"/>
    <x v="1"/>
    <s v="-"/>
    <s v="No"/>
    <n v="0"/>
    <n v="0"/>
    <x v="1"/>
  </r>
  <r>
    <x v="268"/>
    <x v="257"/>
    <x v="0"/>
    <x v="267"/>
    <x v="1"/>
    <x v="0"/>
    <x v="0"/>
    <x v="0"/>
    <n v="30"/>
    <s v="Yes"/>
    <n v="20"/>
    <n v="3"/>
    <x v="3"/>
  </r>
  <r>
    <x v="269"/>
    <x v="258"/>
    <x v="2"/>
    <x v="268"/>
    <x v="0"/>
    <x v="2"/>
    <x v="1"/>
    <x v="1"/>
    <s v="-"/>
    <s v="Yes"/>
    <n v="20"/>
    <n v="15"/>
    <x v="7"/>
  </r>
  <r>
    <x v="270"/>
    <x v="259"/>
    <x v="1"/>
    <x v="269"/>
    <x v="1"/>
    <x v="1"/>
    <x v="0"/>
    <x v="1"/>
    <s v="-"/>
    <s v="No"/>
    <n v="0"/>
    <n v="1"/>
    <x v="4"/>
  </r>
  <r>
    <x v="271"/>
    <x v="260"/>
    <x v="0"/>
    <x v="270"/>
    <x v="0"/>
    <x v="0"/>
    <x v="2"/>
    <x v="0"/>
    <n v="30"/>
    <s v="Yes"/>
    <n v="20"/>
    <n v="7"/>
    <x v="12"/>
  </r>
  <r>
    <x v="272"/>
    <x v="119"/>
    <x v="2"/>
    <x v="271"/>
    <x v="1"/>
    <x v="2"/>
    <x v="0"/>
    <x v="1"/>
    <s v="-"/>
    <s v="Yes"/>
    <n v="20"/>
    <n v="10"/>
    <x v="2"/>
  </r>
  <r>
    <x v="273"/>
    <x v="261"/>
    <x v="1"/>
    <x v="272"/>
    <x v="0"/>
    <x v="1"/>
    <x v="1"/>
    <x v="1"/>
    <s v="-"/>
    <s v="No"/>
    <n v="0"/>
    <n v="0"/>
    <x v="1"/>
  </r>
  <r>
    <x v="274"/>
    <x v="262"/>
    <x v="0"/>
    <x v="273"/>
    <x v="1"/>
    <x v="0"/>
    <x v="0"/>
    <x v="0"/>
    <n v="30"/>
    <s v="Yes"/>
    <n v="20"/>
    <n v="20"/>
    <x v="8"/>
  </r>
  <r>
    <x v="275"/>
    <x v="263"/>
    <x v="2"/>
    <x v="274"/>
    <x v="0"/>
    <x v="2"/>
    <x v="2"/>
    <x v="1"/>
    <s v="-"/>
    <s v="Yes"/>
    <n v="20"/>
    <n v="15"/>
    <x v="7"/>
  </r>
  <r>
    <x v="276"/>
    <x v="264"/>
    <x v="1"/>
    <x v="275"/>
    <x v="1"/>
    <x v="1"/>
    <x v="0"/>
    <x v="1"/>
    <s v="-"/>
    <s v="No"/>
    <n v="0"/>
    <n v="1"/>
    <x v="4"/>
  </r>
  <r>
    <x v="277"/>
    <x v="265"/>
    <x v="0"/>
    <x v="276"/>
    <x v="0"/>
    <x v="0"/>
    <x v="1"/>
    <x v="0"/>
    <n v="30"/>
    <s v="Yes"/>
    <n v="20"/>
    <n v="3"/>
    <x v="3"/>
  </r>
  <r>
    <x v="278"/>
    <x v="266"/>
    <x v="2"/>
    <x v="277"/>
    <x v="1"/>
    <x v="2"/>
    <x v="0"/>
    <x v="1"/>
    <s v="-"/>
    <s v="Yes"/>
    <n v="20"/>
    <n v="10"/>
    <x v="2"/>
  </r>
  <r>
    <x v="279"/>
    <x v="267"/>
    <x v="1"/>
    <x v="278"/>
    <x v="0"/>
    <x v="1"/>
    <x v="2"/>
    <x v="1"/>
    <s v="-"/>
    <s v="No"/>
    <n v="0"/>
    <n v="0"/>
    <x v="1"/>
  </r>
  <r>
    <x v="280"/>
    <x v="268"/>
    <x v="0"/>
    <x v="279"/>
    <x v="1"/>
    <x v="0"/>
    <x v="0"/>
    <x v="0"/>
    <n v="30"/>
    <s v="Yes"/>
    <n v="20"/>
    <n v="15"/>
    <x v="14"/>
  </r>
  <r>
    <x v="281"/>
    <x v="269"/>
    <x v="2"/>
    <x v="280"/>
    <x v="0"/>
    <x v="2"/>
    <x v="1"/>
    <x v="1"/>
    <s v="-"/>
    <s v="Yes"/>
    <n v="20"/>
    <n v="15"/>
    <x v="7"/>
  </r>
  <r>
    <x v="282"/>
    <x v="270"/>
    <x v="1"/>
    <x v="281"/>
    <x v="1"/>
    <x v="1"/>
    <x v="0"/>
    <x v="1"/>
    <s v="-"/>
    <s v="No"/>
    <n v="0"/>
    <n v="1"/>
    <x v="4"/>
  </r>
  <r>
    <x v="283"/>
    <x v="271"/>
    <x v="0"/>
    <x v="282"/>
    <x v="0"/>
    <x v="0"/>
    <x v="2"/>
    <x v="0"/>
    <n v="30"/>
    <s v="Yes"/>
    <n v="20"/>
    <n v="7"/>
    <x v="12"/>
  </r>
  <r>
    <x v="284"/>
    <x v="130"/>
    <x v="2"/>
    <x v="283"/>
    <x v="1"/>
    <x v="2"/>
    <x v="0"/>
    <x v="1"/>
    <s v="-"/>
    <s v="Yes"/>
    <n v="20"/>
    <n v="10"/>
    <x v="2"/>
  </r>
  <r>
    <x v="285"/>
    <x v="131"/>
    <x v="1"/>
    <x v="284"/>
    <x v="0"/>
    <x v="1"/>
    <x v="1"/>
    <x v="1"/>
    <s v="-"/>
    <s v="No"/>
    <n v="0"/>
    <n v="0"/>
    <x v="1"/>
  </r>
  <r>
    <x v="286"/>
    <x v="181"/>
    <x v="0"/>
    <x v="285"/>
    <x v="1"/>
    <x v="0"/>
    <x v="0"/>
    <x v="0"/>
    <n v="30"/>
    <s v="Yes"/>
    <n v="20"/>
    <n v="20"/>
    <x v="8"/>
  </r>
  <r>
    <x v="287"/>
    <x v="272"/>
    <x v="2"/>
    <x v="286"/>
    <x v="0"/>
    <x v="2"/>
    <x v="2"/>
    <x v="1"/>
    <s v="-"/>
    <s v="Yes"/>
    <n v="20"/>
    <n v="12"/>
    <x v="10"/>
  </r>
  <r>
    <x v="288"/>
    <x v="273"/>
    <x v="1"/>
    <x v="287"/>
    <x v="1"/>
    <x v="1"/>
    <x v="0"/>
    <x v="1"/>
    <s v="-"/>
    <s v="No"/>
    <n v="0"/>
    <n v="2"/>
    <x v="11"/>
  </r>
  <r>
    <x v="289"/>
    <x v="274"/>
    <x v="0"/>
    <x v="288"/>
    <x v="0"/>
    <x v="0"/>
    <x v="1"/>
    <x v="0"/>
    <n v="30"/>
    <s v="Yes"/>
    <n v="20"/>
    <n v="5"/>
    <x v="0"/>
  </r>
  <r>
    <x v="290"/>
    <x v="275"/>
    <x v="2"/>
    <x v="289"/>
    <x v="1"/>
    <x v="2"/>
    <x v="0"/>
    <x v="1"/>
    <s v="-"/>
    <s v="Yes"/>
    <n v="20"/>
    <n v="10"/>
    <x v="2"/>
  </r>
  <r>
    <x v="291"/>
    <x v="276"/>
    <x v="1"/>
    <x v="290"/>
    <x v="0"/>
    <x v="1"/>
    <x v="2"/>
    <x v="1"/>
    <s v="-"/>
    <s v="No"/>
    <n v="0"/>
    <n v="0"/>
    <x v="1"/>
  </r>
  <r>
    <x v="292"/>
    <x v="277"/>
    <x v="0"/>
    <x v="291"/>
    <x v="1"/>
    <x v="0"/>
    <x v="0"/>
    <x v="0"/>
    <n v="30"/>
    <s v="Yes"/>
    <n v="20"/>
    <n v="3"/>
    <x v="3"/>
  </r>
  <r>
    <x v="293"/>
    <x v="278"/>
    <x v="2"/>
    <x v="292"/>
    <x v="0"/>
    <x v="2"/>
    <x v="1"/>
    <x v="1"/>
    <s v="-"/>
    <s v="Yes"/>
    <n v="20"/>
    <n v="15"/>
    <x v="7"/>
  </r>
  <r>
    <x v="294"/>
    <x v="279"/>
    <x v="1"/>
    <x v="293"/>
    <x v="1"/>
    <x v="1"/>
    <x v="0"/>
    <x v="1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D841E-AD61-460E-9298-CF149BA0299C}" name="Tabela dinâmica6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4">
  <location ref="A38" firstHeaderRow="0" firstDataRow="0" firstDataCol="0" rowPageCount="1" colPageCount="1"/>
  <pivotFields count="14">
    <pivotField showAll="0" countASubtotal="1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countA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numFmtId="164" showAll="0"/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ageFields count="1">
    <pageField fld="6" hier="-1"/>
  </pageFields>
  <formats count="2">
    <format dxfId="2">
      <pivotArea grandRow="1"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79144-F756-4C59-BACD-C4739429DCEE}" name="Tabela dinâmica4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A29:B33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dataField="1"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0" baseItem="0" numFmtId="164"/>
  </dataFields>
  <formats count="2">
    <format dxfId="5">
      <pivotArea grandRow="1"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8157A-B8E9-40FA-BFD0-82AB7398A2D5}" name="Tabela dinâmica3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0:B24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8A1E6-00C2-40F0-8DA9-7956C54E0D4F}" name="Tabela dinâmica2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11:B15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formats count="1"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F084-C88A-4B8C-8894-385ED1DBF6B6}" name="Tabela dinâ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6" firstHeaderRow="1" firstDataRow="1" firstDataCol="1" rowPageCount="1" colPageCount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8">
      <pivotArea collapsedLevelsAreSubtotals="1" fieldPosition="0">
        <references count="1">
          <reference field="4" count="0"/>
        </references>
      </pivotArea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E8BDD5F-3FE2-4CF2-80FA-D6136B63F14E}" sourceName="Subscription Type">
  <pivotTables>
    <pivotTable tabId="3" name="Tabela dinâmica2"/>
    <pivotTable tabId="3" name="Tabela dinâmica1"/>
    <pivotTable tabId="3" name="Tabela dinâmica3"/>
    <pivotTable tabId="3" name="Tabela dinâmica4"/>
    <pivotTable tabId="3" name="Tabela dinâmica6"/>
  </pivotTables>
  <data>
    <tabular pivotCacheId="127292550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B81195E-98AF-47E6-A280-E13F6C671B39}" cache="SegmentaçãodeDados_Subscription_Type" caption="Subscription Type" style="SlicerStyleLight3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">
  <autoFilter ref="A1:M296" xr:uid="{34E0E886-4200-4B36-97B3-63DB74FF40A0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8" sqref="D38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8" sqref="D38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6"/>
  <sheetViews>
    <sheetView showGridLines="0" topLeftCell="A13" workbookViewId="0">
      <selection activeCell="D38" sqref="D38"/>
    </sheetView>
  </sheetViews>
  <sheetFormatPr defaultRowHeight="13.8"/>
  <cols>
    <col min="1" max="1" width="15.5" bestFit="1" customWidth="1"/>
    <col min="2" max="2" width="9.19921875" bestFit="1" customWidth="1"/>
    <col min="3" max="71" width="19.09765625" bestFit="1" customWidth="1"/>
    <col min="72" max="72" width="10.3984375" bestFit="1" customWidth="1"/>
  </cols>
  <sheetData>
    <row r="1" spans="1:4">
      <c r="A1" s="13" t="s">
        <v>16</v>
      </c>
      <c r="B1" t="s">
        <v>20</v>
      </c>
    </row>
    <row r="3" spans="1:4">
      <c r="A3" s="13" t="s">
        <v>313</v>
      </c>
      <c r="B3" t="s">
        <v>316</v>
      </c>
    </row>
    <row r="4" spans="1:4">
      <c r="A4" s="14" t="s">
        <v>23</v>
      </c>
      <c r="B4" s="15">
        <v>2824</v>
      </c>
    </row>
    <row r="5" spans="1:4">
      <c r="A5" s="14" t="s">
        <v>19</v>
      </c>
      <c r="B5" s="15">
        <v>747</v>
      </c>
    </row>
    <row r="6" spans="1:4">
      <c r="A6" s="14" t="s">
        <v>314</v>
      </c>
      <c r="B6" s="12">
        <v>3571</v>
      </c>
    </row>
    <row r="9" spans="1:4">
      <c r="A9" s="13" t="s">
        <v>16</v>
      </c>
      <c r="B9" t="s">
        <v>20</v>
      </c>
    </row>
    <row r="11" spans="1:4">
      <c r="A11" s="13" t="s">
        <v>313</v>
      </c>
      <c r="B11" t="s">
        <v>317</v>
      </c>
    </row>
    <row r="12" spans="1:4">
      <c r="A12" s="14" t="s">
        <v>22</v>
      </c>
      <c r="B12" s="12">
        <v>0</v>
      </c>
    </row>
    <row r="13" spans="1:4">
      <c r="A13" s="14" t="s">
        <v>26</v>
      </c>
      <c r="B13" s="12">
        <v>0</v>
      </c>
    </row>
    <row r="14" spans="1:4">
      <c r="A14" s="14" t="s">
        <v>18</v>
      </c>
      <c r="B14" s="12">
        <v>1350</v>
      </c>
    </row>
    <row r="15" spans="1:4">
      <c r="A15" s="14" t="s">
        <v>314</v>
      </c>
      <c r="B15" s="15">
        <v>1350</v>
      </c>
      <c r="C15" s="12"/>
      <c r="D15" s="16">
        <f>GETPIVOTDATA("Soma de EA Play Season Pass",$B$15)</f>
        <v>1350</v>
      </c>
    </row>
    <row r="18" spans="1:4">
      <c r="A18" s="13" t="s">
        <v>16</v>
      </c>
      <c r="B18" t="s">
        <v>20</v>
      </c>
    </row>
    <row r="20" spans="1:4">
      <c r="A20" s="13" t="s">
        <v>313</v>
      </c>
      <c r="B20" t="s">
        <v>318</v>
      </c>
    </row>
    <row r="21" spans="1:4">
      <c r="A21" s="14" t="s">
        <v>22</v>
      </c>
      <c r="B21" s="12">
        <v>0</v>
      </c>
    </row>
    <row r="22" spans="1:4">
      <c r="A22" s="14" t="s">
        <v>26</v>
      </c>
      <c r="B22" s="12">
        <v>900</v>
      </c>
    </row>
    <row r="23" spans="1:4">
      <c r="A23" s="14" t="s">
        <v>18</v>
      </c>
      <c r="B23" s="12">
        <v>900</v>
      </c>
    </row>
    <row r="24" spans="1:4">
      <c r="A24" s="14" t="s">
        <v>314</v>
      </c>
      <c r="B24" s="15">
        <v>1800</v>
      </c>
      <c r="D24" s="16">
        <f>GETPIVOTDATA("Soma de Minecraft Season Pass Price",$B$24)</f>
        <v>1800</v>
      </c>
    </row>
    <row r="27" spans="1:4">
      <c r="A27" s="13" t="s">
        <v>16</v>
      </c>
      <c r="B27" t="s">
        <v>20</v>
      </c>
    </row>
    <row r="29" spans="1:4">
      <c r="A29" s="13" t="s">
        <v>313</v>
      </c>
      <c r="B29" t="s">
        <v>315</v>
      </c>
    </row>
    <row r="30" spans="1:4">
      <c r="A30" s="14" t="s">
        <v>22</v>
      </c>
      <c r="B30" s="15">
        <v>245</v>
      </c>
    </row>
    <row r="31" spans="1:4">
      <c r="A31" s="14" t="s">
        <v>26</v>
      </c>
      <c r="B31" s="15">
        <v>450</v>
      </c>
    </row>
    <row r="32" spans="1:4">
      <c r="A32" s="14" t="s">
        <v>18</v>
      </c>
      <c r="B32" s="15">
        <v>675</v>
      </c>
    </row>
    <row r="33" spans="1:2">
      <c r="A33" s="14" t="s">
        <v>314</v>
      </c>
      <c r="B33" s="15">
        <v>1370</v>
      </c>
    </row>
    <row r="36" spans="1:2">
      <c r="A36" s="13" t="s">
        <v>16</v>
      </c>
      <c r="B36" t="s">
        <v>20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I44"/>
  <sheetViews>
    <sheetView showGridLines="0" showRowColHeaders="0" tabSelected="1" zoomScale="85" zoomScaleNormal="85" zoomScaleSheetLayoutView="85" workbookViewId="0">
      <selection activeCell="V29" sqref="V29"/>
    </sheetView>
  </sheetViews>
  <sheetFormatPr defaultColWidth="0" defaultRowHeight="13.8" zeroHeight="1"/>
  <cols>
    <col min="1" max="1" width="17" style="4" customWidth="1"/>
    <col min="2" max="2" width="3.796875" style="4" customWidth="1"/>
    <col min="3" max="11" width="8.796875" style="7" customWidth="1"/>
    <col min="12" max="12" width="6.59765625" style="7" customWidth="1"/>
    <col min="13" max="21" width="8.796875" style="7" customWidth="1"/>
    <col min="22" max="22" width="11.796875" style="7" customWidth="1"/>
    <col min="23" max="16384" width="8.796875" style="7" hidden="1"/>
  </cols>
  <sheetData>
    <row r="1"/>
    <row r="2" ht="39" customHeight="1"/>
    <row r="3" ht="8.25" customHeight="1"/>
    <row r="4" ht="7.5" customHeight="1"/>
    <row r="5" ht="10.5" customHeight="1"/>
    <row r="6" ht="9.75" customHeight="1"/>
    <row r="7" ht="33" customHeight="1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camila Honório Alves</cp:lastModifiedBy>
  <dcterms:created xsi:type="dcterms:W3CDTF">2024-12-19T13:13:10Z</dcterms:created>
  <dcterms:modified xsi:type="dcterms:W3CDTF">2026-04-14T19:45:03Z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